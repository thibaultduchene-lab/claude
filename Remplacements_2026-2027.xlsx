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placements" sheetId="1" state="visible" r:id="rId3"/>
    <sheet name="Mode d’emploi" sheetId="2" state="visible" r:id="rId4"/>
    <sheet name="Récapitulatif" sheetId="3" state="visible" r:id="rId5"/>
    <sheet name="Listes" sheetId="4" state="visible" r:id="rId6"/>
  </sheets>
  <definedNames>
    <definedName function="false" hidden="false" localSheetId="0" name="_xlnm.Print_Titles" vbProcedure="false">Remplacements!$5:$5</definedName>
    <definedName function="false" hidden="true" localSheetId="0" name="_xlnm._FilterDatabase" vbProcedure="false">Remplacements!$A$5:$H$255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<sst xmlns="http://schemas.openxmlformats.org/spreadsheetml/2006/main" count="86" uniqueCount="84">
  <si>
    <t xml:space="preserve">REMPLACEMENTS — Saison 2026-2027</t>
  </si>
  <si>
    <t xml:space="preserve">C’est le REMPLAÇANT qui encode sa ligne, le jour même.</t>
  </si>
  <si>
    <t xml:space="preserve">Pas de ligne ici = heure non payée. La colonne « Mois » se remplit toute seule.</t>
  </si>
  <si>
    <t xml:space="preserve">Date du cours</t>
  </si>
  <si>
    <t xml:space="preserve">Heure</t>
  </si>
  <si>
    <t xml:space="preserve">Durée (h)</t>
  </si>
  <si>
    <t xml:space="preserve">Moniteur remplacé</t>
  </si>
  <si>
    <t xml:space="preserve">Moniteur remplaçant</t>
  </si>
  <si>
    <t xml:space="preserve">Motif</t>
  </si>
  <si>
    <t xml:space="preserve">Mois</t>
  </si>
  <si>
    <t xml:space="preserve">Vérifié / payé</t>
  </si>
  <si>
    <t xml:space="preserve">MODE D’EMPLOI</t>
  </si>
  <si>
    <t xml:space="preserve">Qui encode ?</t>
  </si>
  <si>
    <t xml:space="preserve">Le moniteur qui REMPLACE, jamais celui qui est remplacé. C’est vous qui serez payé pour cette heure, c’est donc vous qui la déclarez.</t>
  </si>
  <si>
    <t xml:space="preserve">Le jour même, pas en fin de mois.</t>
  </si>
  <si>
    <t xml:space="preserve">Comment ?</t>
  </si>
  <si>
    <t xml:space="preserve">Une ligne par heure remplacée, dans l’onglet « Remplacements ». Les colonnes sur fond crème sont à compléter ; celles sur fond bleu se calculent seules ou sont réservées à l’école (« Vérifié / payé » est cochée par l’école au contrôle du mois).</t>
  </si>
  <si>
    <t xml:space="preserve">Les colonnes Moniteur et Motif se choisissent dans un menu déroulant. La colonne « Mois » se déduit automatiquement de la date.</t>
  </si>
  <si>
    <t xml:space="preserve">Exemple</t>
  </si>
  <si>
    <t xml:space="preserve">12/11/2026  ·  17h-18h  ·  1,00  ·  remplacé : Taha  ·  remplaçant : Yassine  ·  Vacances</t>
  </si>
  <si>
    <t xml:space="preserve">Et sur la facture ?</t>
  </si>
  <si>
    <t xml:space="preserve">Le remplaçant ajoute l’heure sur sa facture mensuelle, avec le nom du moniteur remplacé dans la colonne prévue.</t>
  </si>
  <si>
    <t xml:space="preserve">Le moniteur remplacé ne facture pas cette heure.</t>
  </si>
  <si>
    <t xml:space="preserve">La règle</t>
  </si>
  <si>
    <t xml:space="preserve">Une heure qui n’est pas à votre horaire et qui ne figure pas dans ce fichier ne sera pas payée.</t>
  </si>
  <si>
    <t xml:space="preserve">Pour l’école</t>
  </si>
  <si>
    <t xml:space="preserve">Le contrôle se fait à la fin de chaque mois, à la réception des factures. L’onglet « Récapitulatif » donne les totaux du mois choisi, moniteur par moniteur.</t>
  </si>
  <si>
    <t xml:space="preserve">Les moniteurs de la saison s’ajoutent dans l’onglet « Listes ».</t>
  </si>
  <si>
    <t xml:space="preserve">CONTRÔLE MENSUEL</t>
  </si>
  <si>
    <t xml:space="preserve">Mois à vérifier :</t>
  </si>
  <si>
    <t xml:space="preserve">Novembre</t>
  </si>
  <si>
    <t xml:space="preserve">Choisissez le mois : le tableau se met à jour.</t>
  </si>
  <si>
    <t xml:space="preserve">Moniteur</t>
  </si>
  <si>
    <t xml:space="preserve">Heures effectuées
en remplacement</t>
  </si>
  <si>
    <t xml:space="preserve">Heures cédées</t>
  </si>
  <si>
    <t xml:space="preserve">Total saison
effectuées</t>
  </si>
  <si>
    <t xml:space="preserve">Total saison
cédées</t>
  </si>
  <si>
    <t xml:space="preserve">TOTAL</t>
  </si>
  <si>
    <t xml:space="preserve">Au contrôle des factures du mois : les heures « effectuées » doivent se retrouver sur la facture du remplaçant, et les heures « cédées » doivent être absentes de celle du moniteur remplacé.</t>
  </si>
  <si>
    <t xml:space="preserve">Moniteurs</t>
  </si>
  <si>
    <t xml:space="preserve">Motifs</t>
  </si>
  <si>
    <t xml:space="preserve">Validé</t>
  </si>
  <si>
    <t xml:space="preserve">Yassine</t>
  </si>
  <si>
    <t xml:space="preserve">Vacances</t>
  </si>
  <si>
    <t xml:space="preserve">Janvier</t>
  </si>
  <si>
    <t xml:space="preserve">Oui</t>
  </si>
  <si>
    <t xml:space="preserve">Elias</t>
  </si>
  <si>
    <t xml:space="preserve">Maladie</t>
  </si>
  <si>
    <t xml:space="preserve">Février</t>
  </si>
  <si>
    <t xml:space="preserve">Non</t>
  </si>
  <si>
    <t xml:space="preserve">Taha</t>
  </si>
  <si>
    <t xml:space="preserve">Formation</t>
  </si>
  <si>
    <t xml:space="preserve">Mars</t>
  </si>
  <si>
    <t xml:space="preserve">Julien</t>
  </si>
  <si>
    <t xml:space="preserve">Compétition</t>
  </si>
  <si>
    <t xml:space="preserve">Avril</t>
  </si>
  <si>
    <t xml:space="preserve">Mario</t>
  </si>
  <si>
    <t xml:space="preserve">Autre</t>
  </si>
  <si>
    <t xml:space="preserve">Mai</t>
  </si>
  <si>
    <t xml:space="preserve">Thibault</t>
  </si>
  <si>
    <t xml:space="preserve">Juin</t>
  </si>
  <si>
    <t xml:space="preserve">Philippe</t>
  </si>
  <si>
    <t xml:space="preserve">Juillet</t>
  </si>
  <si>
    <t xml:space="preserve">Adel</t>
  </si>
  <si>
    <t xml:space="preserve">Août</t>
  </si>
  <si>
    <t xml:space="preserve">Alpaslan</t>
  </si>
  <si>
    <t xml:space="preserve">Septembre</t>
  </si>
  <si>
    <t xml:space="preserve">Armelle</t>
  </si>
  <si>
    <t xml:space="preserve">Octobre</t>
  </si>
  <si>
    <t xml:space="preserve">Celia</t>
  </si>
  <si>
    <t xml:space="preserve">Clément</t>
  </si>
  <si>
    <t xml:space="preserve">Décembre</t>
  </si>
  <si>
    <t xml:space="preserve">Fred</t>
  </si>
  <si>
    <t xml:space="preserve">Guillaume</t>
  </si>
  <si>
    <t xml:space="preserve">Jad</t>
  </si>
  <si>
    <t xml:space="preserve">Jérémie</t>
  </si>
  <si>
    <t xml:space="preserve">Loïc</t>
  </si>
  <si>
    <t xml:space="preserve">Morad</t>
  </si>
  <si>
    <t xml:space="preserve">Pascal</t>
  </si>
  <si>
    <t xml:space="preserve">Thibaut</t>
  </si>
  <si>
    <t xml:space="preserve">Xavier</t>
  </si>
  <si>
    <t xml:space="preserve">Zeliha</t>
  </si>
  <si>
    <t xml:space="preserve">Camelia</t>
  </si>
  <si>
    <t xml:space="preserve">Ajoutez ici les moniteurs de la saison : ils apparaîtront automatiquement dans les menus déroulants et dans le récapitulatif. Les mois sont dans l’ordre du calendrier, ne les déplacez pas.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</si>
</sst>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8A9E2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4E6"/>
        <bgColor rgb="FFFAFAF6"/>
      </patternFill>
    </fill>
    <fill>
      <patternFill patternType="solid">
        <fgColor rgb="FF8A9E28"/>
        <bgColor rgb="FF969696"/>
      </patternFill>
    </fill>
    <fill>
      <patternFill patternType="solid">
        <fgColor rgb="FFFFF6D8"/>
        <bgColor rgb="FFF2F4E6"/>
      </patternFill>
    </fill>
    <fill>
      <patternFill patternType="solid">
        <fgColor rgb="FFE8EEF6"/>
        <bgColor rgb="FFF2F4E6"/>
      </patternFill>
    </fill>
    <fill>
      <patternFill patternType="solid">
        <fgColor rgb="FFFAFAF6"/>
        <bgColor rgb="FFFFFFFF"/>
      </patternFill>
    </fill>
    <fill>
      <patternFill patternType="solid">
        <fgColor rgb="FFFBEAE7"/>
        <bgColor rgb="FFF2F4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A9E28"/>
          <bgColor rgb="FF000000"/>
        </patternFill>
      </fill>
    </dxf>
    <dxf>
      <fill>
        <patternFill patternType="solid">
          <fgColor rgb="FFFFF6D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EF6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9E28"/>
      <rgbColor rgb="FF800080"/>
      <rgbColor rgb="FF008080"/>
      <rgbColor rgb="FFB7B7B7"/>
      <rgbColor rgb="FF808080"/>
      <rgbColor rgb="FF9999FF"/>
      <rgbColor rgb="FF993366"/>
      <rgbColor rgb="FFFFF6D8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E6"/>
      <rgbColor rgb="FFFAFAF6"/>
      <rgbColor rgb="FFFB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990360</xdr:colOff>
      <xdr:row>2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32380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2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8" hidden="false" customHeight="true" outlineLevel="0" collapsed="false">
      <c r="D1" s="1" t="s">
        <v>0</v>
      </c>
      <c r="E1" s="1"/>
      <c r="F1" s="1"/>
      <c r="G1" s="1"/>
      <c r="H1" s="1"/>
    </row>
    <row r="2" customFormat="false" ht="18" hidden="false" customHeight="true" outlineLevel="0" collapsed="false">
      <c r="D2" s="2" t="s">
        <v>1</v>
      </c>
      <c r="E2" s="2"/>
      <c r="F2" s="2"/>
      <c r="G2" s="2"/>
      <c r="H2" s="2"/>
    </row>
    <row r="3" customFormat="false" ht="18" hidden="false" customHeight="true" outlineLevel="0" collapsed="false">
      <c r="D3" s="3" t="s">
        <v>2</v>
      </c>
      <c r="E3" s="3"/>
      <c r="F3" s="3"/>
      <c r="G3" s="3"/>
      <c r="H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true" outlineLevel="0" collapsed="false">
      <c r="A6" s="5"/>
      <c r="B6" s="6"/>
      <c r="C6" s="7"/>
      <c r="D6" s="6"/>
      <c r="E6" s="6"/>
      <c r="F6" s="6"/>
      <c r="G6" s="8" t="str">
        <f aca="false">IF($A6="","",INDEX(Listes!$C$2:$C$13,MONTH($A6)))</f>
        <v/>
      </c>
      <c r="H6" s="9"/>
    </row>
    <row r="7" customFormat="false" ht="15" hidden="false" customHeight="true" outlineLevel="0" collapsed="false">
      <c r="A7" s="5"/>
      <c r="B7" s="6"/>
      <c r="C7" s="7"/>
      <c r="D7" s="6"/>
      <c r="E7" s="6"/>
      <c r="F7" s="6"/>
      <c r="G7" s="8" t="str">
        <f aca="false">IF($A7="","",INDEX(Listes!$C$2:$C$13,MONTH($A7)))</f>
        <v/>
      </c>
      <c r="H7" s="9"/>
    </row>
    <row r="8" customFormat="false" ht="15" hidden="false" customHeight="true" outlineLevel="0" collapsed="false">
      <c r="A8" s="5"/>
      <c r="B8" s="6"/>
      <c r="C8" s="7"/>
      <c r="D8" s="6"/>
      <c r="E8" s="6"/>
      <c r="F8" s="6"/>
      <c r="G8" s="8" t="str">
        <f aca="false">IF($A8="","",INDEX(Listes!$C$2:$C$13,MONTH($A8)))</f>
        <v/>
      </c>
      <c r="H8" s="9"/>
    </row>
    <row r="9" customFormat="false" ht="15" hidden="false" customHeight="true" outlineLevel="0" collapsed="false">
      <c r="A9" s="5"/>
      <c r="B9" s="6"/>
      <c r="C9" s="7"/>
      <c r="D9" s="6"/>
      <c r="E9" s="6"/>
      <c r="F9" s="6"/>
      <c r="G9" s="8" t="str">
        <f aca="false">IF($A9="","",INDEX(Listes!$C$2:$C$13,MONTH($A9)))</f>
        <v/>
      </c>
      <c r="H9" s="9"/>
    </row>
    <row r="10" customFormat="false" ht="15" hidden="false" customHeight="true" outlineLevel="0" collapsed="false">
      <c r="A10" s="5"/>
      <c r="B10" s="6"/>
      <c r="C10" s="7"/>
      <c r="D10" s="6"/>
      <c r="E10" s="6"/>
      <c r="F10" s="6"/>
      <c r="G10" s="8" t="str">
        <f aca="false">IF($A10="","",INDEX(Listes!$C$2:$C$13,MONTH($A10)))</f>
        <v/>
      </c>
      <c r="H10" s="9"/>
    </row>
    <row r="11" customFormat="false" ht="15" hidden="false" customHeight="true" outlineLevel="0" collapsed="false">
      <c r="A11" s="5"/>
      <c r="B11" s="6"/>
      <c r="C11" s="7"/>
      <c r="D11" s="6"/>
      <c r="E11" s="6"/>
      <c r="F11" s="6"/>
      <c r="G11" s="8" t="str">
        <f aca="false">IF($A11="","",INDEX(Listes!$C$2:$C$13,MONTH($A11)))</f>
        <v/>
      </c>
      <c r="H11" s="9"/>
    </row>
    <row r="12" customFormat="false" ht="15" hidden="false" customHeight="true" outlineLevel="0" collapsed="false">
      <c r="A12" s="5"/>
      <c r="B12" s="6"/>
      <c r="C12" s="7"/>
      <c r="D12" s="6"/>
      <c r="E12" s="6"/>
      <c r="F12" s="6"/>
      <c r="G12" s="8" t="str">
        <f aca="false">IF($A12="","",INDEX(Listes!$C$2:$C$13,MONTH($A12)))</f>
        <v/>
      </c>
      <c r="H12" s="9"/>
    </row>
    <row r="13" customFormat="false" ht="15" hidden="false" customHeight="true" outlineLevel="0" collapsed="false">
      <c r="A13" s="5"/>
      <c r="B13" s="6"/>
      <c r="C13" s="7"/>
      <c r="D13" s="6"/>
      <c r="E13" s="6"/>
      <c r="F13" s="6"/>
      <c r="G13" s="8" t="str">
        <f aca="false">IF($A13="","",INDEX(Listes!$C$2:$C$13,MONTH($A13)))</f>
        <v/>
      </c>
      <c r="H13" s="9"/>
    </row>
    <row r="14" customFormat="false" ht="15" hidden="false" customHeight="true" outlineLevel="0" collapsed="false">
      <c r="A14" s="5"/>
      <c r="B14" s="6"/>
      <c r="C14" s="7"/>
      <c r="D14" s="6"/>
      <c r="E14" s="6"/>
      <c r="F14" s="6"/>
      <c r="G14" s="8" t="str">
        <f aca="false">IF($A14="","",INDEX(Listes!$C$2:$C$13,MONTH($A14)))</f>
        <v/>
      </c>
      <c r="H14" s="9"/>
    </row>
    <row r="15" customFormat="false" ht="15" hidden="false" customHeight="true" outlineLevel="0" collapsed="false">
      <c r="A15" s="5"/>
      <c r="B15" s="6"/>
      <c r="C15" s="7"/>
      <c r="D15" s="6"/>
      <c r="E15" s="6"/>
      <c r="F15" s="6"/>
      <c r="G15" s="8" t="str">
        <f aca="false">IF($A15="","",INDEX(Listes!$C$2:$C$13,MONTH($A15)))</f>
        <v/>
      </c>
      <c r="H15" s="9"/>
    </row>
    <row r="16" customFormat="false" ht="15" hidden="false" customHeight="true" outlineLevel="0" collapsed="false">
      <c r="A16" s="5"/>
      <c r="B16" s="6"/>
      <c r="C16" s="7"/>
      <c r="D16" s="6"/>
      <c r="E16" s="6"/>
      <c r="F16" s="6"/>
      <c r="G16" s="8" t="str">
        <f aca="false">IF($A16="","",INDEX(Listes!$C$2:$C$13,MONTH($A16)))</f>
        <v/>
      </c>
      <c r="H16" s="9"/>
    </row>
    <row r="17" customFormat="false" ht="15" hidden="false" customHeight="true" outlineLevel="0" collapsed="false">
      <c r="A17" s="5"/>
      <c r="B17" s="6"/>
      <c r="C17" s="7"/>
      <c r="D17" s="6"/>
      <c r="E17" s="6"/>
      <c r="F17" s="6"/>
      <c r="G17" s="8" t="str">
        <f aca="false">IF($A17="","",INDEX(Listes!$C$2:$C$13,MONTH($A17)))</f>
        <v/>
      </c>
      <c r="H17" s="9"/>
    </row>
    <row r="18" customFormat="false" ht="15" hidden="false" customHeight="true" outlineLevel="0" collapsed="false">
      <c r="A18" s="5"/>
      <c r="B18" s="6"/>
      <c r="C18" s="7"/>
      <c r="D18" s="6"/>
      <c r="E18" s="6"/>
      <c r="F18" s="6"/>
      <c r="G18" s="8" t="str">
        <f aca="false">IF($A18="","",INDEX(Listes!$C$2:$C$13,MONTH($A18)))</f>
        <v/>
      </c>
      <c r="H18" s="9"/>
    </row>
    <row r="19" customFormat="false" ht="15" hidden="false" customHeight="true" outlineLevel="0" collapsed="false">
      <c r="A19" s="5"/>
      <c r="B19" s="6"/>
      <c r="C19" s="7"/>
      <c r="D19" s="6"/>
      <c r="E19" s="6"/>
      <c r="F19" s="6"/>
      <c r="G19" s="8" t="str">
        <f aca="false">IF($A19="","",INDEX(Listes!$C$2:$C$13,MONTH($A19)))</f>
        <v/>
      </c>
      <c r="H19" s="9"/>
    </row>
    <row r="20" customFormat="false" ht="15" hidden="false" customHeight="true" outlineLevel="0" collapsed="false">
      <c r="A20" s="5"/>
      <c r="B20" s="6"/>
      <c r="C20" s="7"/>
      <c r="D20" s="6"/>
      <c r="E20" s="6"/>
      <c r="F20" s="6"/>
      <c r="G20" s="8" t="str">
        <f aca="false">IF($A20="","",INDEX(Listes!$C$2:$C$13,MONTH($A20)))</f>
        <v/>
      </c>
      <c r="H20" s="9"/>
    </row>
    <row r="21" customFormat="false" ht="15" hidden="false" customHeight="true" outlineLevel="0" collapsed="false">
      <c r="A21" s="5"/>
      <c r="B21" s="6"/>
      <c r="C21" s="7"/>
      <c r="D21" s="6"/>
      <c r="E21" s="6"/>
      <c r="F21" s="6"/>
      <c r="G21" s="8" t="str">
        <f aca="false">IF($A21="","",INDEX(Listes!$C$2:$C$13,MONTH($A21)))</f>
        <v/>
      </c>
      <c r="H21" s="9"/>
    </row>
    <row r="22" customFormat="false" ht="15" hidden="false" customHeight="true" outlineLevel="0" collapsed="false">
      <c r="A22" s="5"/>
      <c r="B22" s="6"/>
      <c r="C22" s="7"/>
      <c r="D22" s="6"/>
      <c r="E22" s="6"/>
      <c r="F22" s="6"/>
      <c r="G22" s="8" t="str">
        <f aca="false">IF($A22="","",INDEX(Listes!$C$2:$C$13,MONTH($A22)))</f>
        <v/>
      </c>
      <c r="H22" s="9"/>
    </row>
    <row r="23" customFormat="false" ht="15" hidden="false" customHeight="true" outlineLevel="0" collapsed="false">
      <c r="A23" s="5"/>
      <c r="B23" s="6"/>
      <c r="C23" s="7"/>
      <c r="D23" s="6"/>
      <c r="E23" s="6"/>
      <c r="F23" s="6"/>
      <c r="G23" s="8" t="str">
        <f aca="false">IF($A23="","",INDEX(Listes!$C$2:$C$13,MONTH($A23)))</f>
        <v/>
      </c>
      <c r="H23" s="9"/>
    </row>
    <row r="24" customFormat="false" ht="15" hidden="false" customHeight="true" outlineLevel="0" collapsed="false">
      <c r="A24" s="5"/>
      <c r="B24" s="6"/>
      <c r="C24" s="7"/>
      <c r="D24" s="6"/>
      <c r="E24" s="6"/>
      <c r="F24" s="6"/>
      <c r="G24" s="8" t="str">
        <f aca="false">IF($A24="","",INDEX(Listes!$C$2:$C$13,MONTH($A24)))</f>
        <v/>
      </c>
      <c r="H24" s="9"/>
    </row>
    <row r="25" customFormat="false" ht="15" hidden="false" customHeight="true" outlineLevel="0" collapsed="false">
      <c r="A25" s="5"/>
      <c r="B25" s="6"/>
      <c r="C25" s="7"/>
      <c r="D25" s="6"/>
      <c r="E25" s="6"/>
      <c r="F25" s="6"/>
      <c r="G25" s="8" t="str">
        <f aca="false">IF($A25="","",INDEX(Listes!$C$2:$C$13,MONTH($A25)))</f>
        <v/>
      </c>
      <c r="H25" s="9"/>
    </row>
    <row r="26" customFormat="false" ht="15" hidden="false" customHeight="true" outlineLevel="0" collapsed="false">
      <c r="A26" s="5"/>
      <c r="B26" s="6"/>
      <c r="C26" s="7"/>
      <c r="D26" s="6"/>
      <c r="E26" s="6"/>
      <c r="F26" s="6"/>
      <c r="G26" s="8" t="str">
        <f aca="false">IF($A26="","",INDEX(Listes!$C$2:$C$13,MONTH($A26)))</f>
        <v/>
      </c>
      <c r="H26" s="9"/>
    </row>
    <row r="27" customFormat="false" ht="15" hidden="false" customHeight="true" outlineLevel="0" collapsed="false">
      <c r="A27" s="5"/>
      <c r="B27" s="6"/>
      <c r="C27" s="7"/>
      <c r="D27" s="6"/>
      <c r="E27" s="6"/>
      <c r="F27" s="6"/>
      <c r="G27" s="8" t="str">
        <f aca="false">IF($A27="","",INDEX(Listes!$C$2:$C$13,MONTH($A27)))</f>
        <v/>
      </c>
      <c r="H27" s="9"/>
    </row>
    <row r="28" customFormat="false" ht="15" hidden="false" customHeight="true" outlineLevel="0" collapsed="false">
      <c r="A28" s="5"/>
      <c r="B28" s="6"/>
      <c r="C28" s="7"/>
      <c r="D28" s="6"/>
      <c r="E28" s="6"/>
      <c r="F28" s="6"/>
      <c r="G28" s="8" t="str">
        <f aca="false">IF($A28="","",INDEX(Listes!$C$2:$C$13,MONTH($A28)))</f>
        <v/>
      </c>
      <c r="H28" s="9"/>
    </row>
    <row r="29" customFormat="false" ht="15" hidden="false" customHeight="true" outlineLevel="0" collapsed="false">
      <c r="A29" s="5"/>
      <c r="B29" s="6"/>
      <c r="C29" s="7"/>
      <c r="D29" s="6"/>
      <c r="E29" s="6"/>
      <c r="F29" s="6"/>
      <c r="G29" s="8" t="str">
        <f aca="false">IF($A29="","",INDEX(Listes!$C$2:$C$13,MONTH($A29)))</f>
        <v/>
      </c>
      <c r="H29" s="9"/>
    </row>
    <row r="30" customFormat="false" ht="15" hidden="false" customHeight="true" outlineLevel="0" collapsed="false">
      <c r="A30" s="5"/>
      <c r="B30" s="6"/>
      <c r="C30" s="7"/>
      <c r="D30" s="6"/>
      <c r="E30" s="6"/>
      <c r="F30" s="6"/>
      <c r="G30" s="8" t="str">
        <f aca="false">IF($A30="","",INDEX(Listes!$C$2:$C$13,MONTH($A30)))</f>
        <v/>
      </c>
      <c r="H30" s="9"/>
    </row>
    <row r="31" customFormat="false" ht="15" hidden="false" customHeight="true" outlineLevel="0" collapsed="false">
      <c r="A31" s="5"/>
      <c r="B31" s="6"/>
      <c r="C31" s="7"/>
      <c r="D31" s="6"/>
      <c r="E31" s="6"/>
      <c r="F31" s="6"/>
      <c r="G31" s="8" t="str">
        <f aca="false">IF($A31="","",INDEX(Listes!$C$2:$C$13,MONTH($A31)))</f>
        <v/>
      </c>
      <c r="H31" s="9"/>
    </row>
    <row r="32" customFormat="false" ht="15" hidden="false" customHeight="true" outlineLevel="0" collapsed="false">
      <c r="A32" s="5"/>
      <c r="B32" s="6"/>
      <c r="C32" s="7"/>
      <c r="D32" s="6"/>
      <c r="E32" s="6"/>
      <c r="F32" s="6"/>
      <c r="G32" s="8" t="str">
        <f aca="false">IF($A32="","",INDEX(Listes!$C$2:$C$13,MONTH($A32)))</f>
        <v/>
      </c>
      <c r="H32" s="9"/>
    </row>
    <row r="33" customFormat="false" ht="15" hidden="false" customHeight="true" outlineLevel="0" collapsed="false">
      <c r="A33" s="5"/>
      <c r="B33" s="6"/>
      <c r="C33" s="7"/>
      <c r="D33" s="6"/>
      <c r="E33" s="6"/>
      <c r="F33" s="6"/>
      <c r="G33" s="8" t="str">
        <f aca="false">IF($A33="","",INDEX(Listes!$C$2:$C$13,MONTH($A33)))</f>
        <v/>
      </c>
      <c r="H33" s="9"/>
    </row>
    <row r="34" customFormat="false" ht="15" hidden="false" customHeight="true" outlineLevel="0" collapsed="false">
      <c r="A34" s="5"/>
      <c r="B34" s="6"/>
      <c r="C34" s="7"/>
      <c r="D34" s="6"/>
      <c r="E34" s="6"/>
      <c r="F34" s="6"/>
      <c r="G34" s="8" t="str">
        <f aca="false">IF($A34="","",INDEX(Listes!$C$2:$C$13,MONTH($A34)))</f>
        <v/>
      </c>
      <c r="H34" s="9"/>
    </row>
    <row r="35" customFormat="false" ht="15" hidden="false" customHeight="true" outlineLevel="0" collapsed="false">
      <c r="A35" s="5"/>
      <c r="B35" s="6"/>
      <c r="C35" s="7"/>
      <c r="D35" s="6"/>
      <c r="E35" s="6"/>
      <c r="F35" s="6"/>
      <c r="G35" s="8" t="str">
        <f aca="false">IF($A35="","",INDEX(Listes!$C$2:$C$13,MONTH($A35)))</f>
        <v/>
      </c>
      <c r="H35" s="9"/>
    </row>
    <row r="36" customFormat="false" ht="15" hidden="false" customHeight="true" outlineLevel="0" collapsed="false">
      <c r="A36" s="5"/>
      <c r="B36" s="6"/>
      <c r="C36" s="7"/>
      <c r="D36" s="6"/>
      <c r="E36" s="6"/>
      <c r="F36" s="6"/>
      <c r="G36" s="8" t="str">
        <f aca="false">IF($A36="","",INDEX(Listes!$C$2:$C$13,MONTH($A36)))</f>
        <v/>
      </c>
      <c r="H36" s="9"/>
    </row>
    <row r="37" customFormat="false" ht="15" hidden="false" customHeight="true" outlineLevel="0" collapsed="false">
      <c r="A37" s="5"/>
      <c r="B37" s="6"/>
      <c r="C37" s="7"/>
      <c r="D37" s="6"/>
      <c r="E37" s="6"/>
      <c r="F37" s="6"/>
      <c r="G37" s="8" t="str">
        <f aca="false">IF($A37="","",INDEX(Listes!$C$2:$C$13,MONTH($A37)))</f>
        <v/>
      </c>
      <c r="H37" s="9"/>
    </row>
    <row r="38" customFormat="false" ht="15" hidden="false" customHeight="true" outlineLevel="0" collapsed="false">
      <c r="A38" s="5"/>
      <c r="B38" s="6"/>
      <c r="C38" s="7"/>
      <c r="D38" s="6"/>
      <c r="E38" s="6"/>
      <c r="F38" s="6"/>
      <c r="G38" s="8" t="str">
        <f aca="false">IF($A38="","",INDEX(Listes!$C$2:$C$13,MONTH($A38)))</f>
        <v/>
      </c>
      <c r="H38" s="9"/>
    </row>
    <row r="39" customFormat="false" ht="15" hidden="false" customHeight="true" outlineLevel="0" collapsed="false">
      <c r="A39" s="5"/>
      <c r="B39" s="6"/>
      <c r="C39" s="7"/>
      <c r="D39" s="6"/>
      <c r="E39" s="6"/>
      <c r="F39" s="6"/>
      <c r="G39" s="8" t="str">
        <f aca="false">IF($A39="","",INDEX(Listes!$C$2:$C$13,MONTH($A39)))</f>
        <v/>
      </c>
      <c r="H39" s="9"/>
    </row>
    <row r="40" customFormat="false" ht="15" hidden="false" customHeight="true" outlineLevel="0" collapsed="false">
      <c r="A40" s="5"/>
      <c r="B40" s="6"/>
      <c r="C40" s="7"/>
      <c r="D40" s="6"/>
      <c r="E40" s="6"/>
      <c r="F40" s="6"/>
      <c r="G40" s="8" t="str">
        <f aca="false">IF($A40="","",INDEX(Listes!$C$2:$C$13,MONTH($A40)))</f>
        <v/>
      </c>
      <c r="H40" s="9"/>
    </row>
    <row r="41" customFormat="false" ht="15" hidden="false" customHeight="true" outlineLevel="0" collapsed="false">
      <c r="A41" s="5"/>
      <c r="B41" s="6"/>
      <c r="C41" s="7"/>
      <c r="D41" s="6"/>
      <c r="E41" s="6"/>
      <c r="F41" s="6"/>
      <c r="G41" s="8" t="str">
        <f aca="false">IF($A41="","",INDEX(Listes!$C$2:$C$13,MONTH($A41)))</f>
        <v/>
      </c>
      <c r="H41" s="9"/>
    </row>
    <row r="42" customFormat="false" ht="15" hidden="false" customHeight="true" outlineLevel="0" collapsed="false">
      <c r="A42" s="5"/>
      <c r="B42" s="6"/>
      <c r="C42" s="7"/>
      <c r="D42" s="6"/>
      <c r="E42" s="6"/>
      <c r="F42" s="6"/>
      <c r="G42" s="8" t="str">
        <f aca="false">IF($A42="","",INDEX(Listes!$C$2:$C$13,MONTH($A42)))</f>
        <v/>
      </c>
      <c r="H42" s="9"/>
    </row>
    <row r="43" customFormat="false" ht="15" hidden="false" customHeight="true" outlineLevel="0" collapsed="false">
      <c r="A43" s="5"/>
      <c r="B43" s="6"/>
      <c r="C43" s="7"/>
      <c r="D43" s="6"/>
      <c r="E43" s="6"/>
      <c r="F43" s="6"/>
      <c r="G43" s="8" t="str">
        <f aca="false">IF($A43="","",INDEX(Listes!$C$2:$C$13,MONTH($A43)))</f>
        <v/>
      </c>
      <c r="H43" s="9"/>
    </row>
    <row r="44" customFormat="false" ht="15" hidden="false" customHeight="true" outlineLevel="0" collapsed="false">
      <c r="A44" s="5"/>
      <c r="B44" s="6"/>
      <c r="C44" s="7"/>
      <c r="D44" s="6"/>
      <c r="E44" s="6"/>
      <c r="F44" s="6"/>
      <c r="G44" s="8" t="str">
        <f aca="false">IF($A44="","",INDEX(Listes!$C$2:$C$13,MONTH($A44)))</f>
        <v/>
      </c>
      <c r="H44" s="9"/>
    </row>
    <row r="45" customFormat="false" ht="15" hidden="false" customHeight="true" outlineLevel="0" collapsed="false">
      <c r="A45" s="5"/>
      <c r="B45" s="6"/>
      <c r="C45" s="7"/>
      <c r="D45" s="6"/>
      <c r="E45" s="6"/>
      <c r="F45" s="6"/>
      <c r="G45" s="8" t="str">
        <f aca="false">IF($A45="","",INDEX(Listes!$C$2:$C$13,MONTH($A45)))</f>
        <v/>
      </c>
      <c r="H45" s="9"/>
    </row>
    <row r="46" customFormat="false" ht="15" hidden="false" customHeight="true" outlineLevel="0" collapsed="false">
      <c r="A46" s="5"/>
      <c r="B46" s="6"/>
      <c r="C46" s="7"/>
      <c r="D46" s="6"/>
      <c r="E46" s="6"/>
      <c r="F46" s="6"/>
      <c r="G46" s="8" t="str">
        <f aca="false">IF($A46="","",INDEX(Listes!$C$2:$C$13,MONTH($A46)))</f>
        <v/>
      </c>
      <c r="H46" s="9"/>
    </row>
    <row r="47" customFormat="false" ht="15" hidden="false" customHeight="true" outlineLevel="0" collapsed="false">
      <c r="A47" s="5"/>
      <c r="B47" s="6"/>
      <c r="C47" s="7"/>
      <c r="D47" s="6"/>
      <c r="E47" s="6"/>
      <c r="F47" s="6"/>
      <c r="G47" s="8" t="str">
        <f aca="false">IF($A47="","",INDEX(Listes!$C$2:$C$13,MONTH($A47)))</f>
        <v/>
      </c>
      <c r="H47" s="9"/>
    </row>
    <row r="48" customFormat="false" ht="15" hidden="false" customHeight="true" outlineLevel="0" collapsed="false">
      <c r="A48" s="5"/>
      <c r="B48" s="6"/>
      <c r="C48" s="7"/>
      <c r="D48" s="6"/>
      <c r="E48" s="6"/>
      <c r="F48" s="6"/>
      <c r="G48" s="8" t="str">
        <f aca="false">IF($A48="","",INDEX(Listes!$C$2:$C$13,MONTH($A48)))</f>
        <v/>
      </c>
      <c r="H48" s="9"/>
    </row>
    <row r="49" customFormat="false" ht="15" hidden="false" customHeight="true" outlineLevel="0" collapsed="false">
      <c r="A49" s="5"/>
      <c r="B49" s="6"/>
      <c r="C49" s="7"/>
      <c r="D49" s="6"/>
      <c r="E49" s="6"/>
      <c r="F49" s="6"/>
      <c r="G49" s="8" t="str">
        <f aca="false">IF($A49="","",INDEX(Listes!$C$2:$C$13,MONTH($A49)))</f>
        <v/>
      </c>
      <c r="H49" s="9"/>
    </row>
    <row r="50" customFormat="false" ht="15" hidden="false" customHeight="true" outlineLevel="0" collapsed="false">
      <c r="A50" s="5"/>
      <c r="B50" s="6"/>
      <c r="C50" s="7"/>
      <c r="D50" s="6"/>
      <c r="E50" s="6"/>
      <c r="F50" s="6"/>
      <c r="G50" s="8" t="str">
        <f aca="false">IF($A50="","",INDEX(Listes!$C$2:$C$13,MONTH($A50)))</f>
        <v/>
      </c>
      <c r="H50" s="9"/>
    </row>
    <row r="51" customFormat="false" ht="15" hidden="false" customHeight="true" outlineLevel="0" collapsed="false">
      <c r="A51" s="5"/>
      <c r="B51" s="6"/>
      <c r="C51" s="7"/>
      <c r="D51" s="6"/>
      <c r="E51" s="6"/>
      <c r="F51" s="6"/>
      <c r="G51" s="8" t="str">
        <f aca="false">IF($A51="","",INDEX(Listes!$C$2:$C$13,MONTH($A51)))</f>
        <v/>
      </c>
      <c r="H51" s="9"/>
    </row>
    <row r="52" customFormat="false" ht="15" hidden="false" customHeight="true" outlineLevel="0" collapsed="false">
      <c r="A52" s="5"/>
      <c r="B52" s="6"/>
      <c r="C52" s="7"/>
      <c r="D52" s="6"/>
      <c r="E52" s="6"/>
      <c r="F52" s="6"/>
      <c r="G52" s="8" t="str">
        <f aca="false">IF($A52="","",INDEX(Listes!$C$2:$C$13,MONTH($A52)))</f>
        <v/>
      </c>
      <c r="H52" s="9"/>
    </row>
    <row r="53" customFormat="false" ht="15" hidden="false" customHeight="true" outlineLevel="0" collapsed="false">
      <c r="A53" s="5"/>
      <c r="B53" s="6"/>
      <c r="C53" s="7"/>
      <c r="D53" s="6"/>
      <c r="E53" s="6"/>
      <c r="F53" s="6"/>
      <c r="G53" s="8" t="str">
        <f aca="false">IF($A53="","",INDEX(Listes!$C$2:$C$13,MONTH($A53)))</f>
        <v/>
      </c>
      <c r="H53" s="9"/>
    </row>
    <row r="54" customFormat="false" ht="15" hidden="false" customHeight="true" outlineLevel="0" collapsed="false">
      <c r="A54" s="5"/>
      <c r="B54" s="6"/>
      <c r="C54" s="7"/>
      <c r="D54" s="6"/>
      <c r="E54" s="6"/>
      <c r="F54" s="6"/>
      <c r="G54" s="8" t="str">
        <f aca="false">IF($A54="","",INDEX(Listes!$C$2:$C$13,MONTH($A54)))</f>
        <v/>
      </c>
      <c r="H54" s="9"/>
    </row>
    <row r="55" customFormat="false" ht="15" hidden="false" customHeight="true" outlineLevel="0" collapsed="false">
      <c r="A55" s="5"/>
      <c r="B55" s="6"/>
      <c r="C55" s="7"/>
      <c r="D55" s="6"/>
      <c r="E55" s="6"/>
      <c r="F55" s="6"/>
      <c r="G55" s="8" t="str">
        <f aca="false">IF($A55="","",INDEX(Listes!$C$2:$C$13,MONTH($A55)))</f>
        <v/>
      </c>
      <c r="H55" s="9"/>
    </row>
    <row r="56" customFormat="false" ht="15" hidden="false" customHeight="true" outlineLevel="0" collapsed="false">
      <c r="A56" s="5"/>
      <c r="B56" s="6"/>
      <c r="C56" s="7"/>
      <c r="D56" s="6"/>
      <c r="E56" s="6"/>
      <c r="F56" s="6"/>
      <c r="G56" s="8" t="str">
        <f aca="false">IF($A56="","",INDEX(Listes!$C$2:$C$13,MONTH($A56)))</f>
        <v/>
      </c>
      <c r="H56" s="9"/>
    </row>
    <row r="57" customFormat="false" ht="15" hidden="false" customHeight="true" outlineLevel="0" collapsed="false">
      <c r="A57" s="5"/>
      <c r="B57" s="6"/>
      <c r="C57" s="7"/>
      <c r="D57" s="6"/>
      <c r="E57" s="6"/>
      <c r="F57" s="6"/>
      <c r="G57" s="8" t="str">
        <f aca="false">IF($A57="","",INDEX(Listes!$C$2:$C$13,MONTH($A57)))</f>
        <v/>
      </c>
      <c r="H57" s="9"/>
    </row>
    <row r="58" customFormat="false" ht="15" hidden="false" customHeight="true" outlineLevel="0" collapsed="false">
      <c r="A58" s="5"/>
      <c r="B58" s="6"/>
      <c r="C58" s="7"/>
      <c r="D58" s="6"/>
      <c r="E58" s="6"/>
      <c r="F58" s="6"/>
      <c r="G58" s="8" t="str">
        <f aca="false">IF($A58="","",INDEX(Listes!$C$2:$C$13,MONTH($A58)))</f>
        <v/>
      </c>
      <c r="H58" s="9"/>
    </row>
    <row r="59" customFormat="false" ht="15" hidden="false" customHeight="true" outlineLevel="0" collapsed="false">
      <c r="A59" s="5"/>
      <c r="B59" s="6"/>
      <c r="C59" s="7"/>
      <c r="D59" s="6"/>
      <c r="E59" s="6"/>
      <c r="F59" s="6"/>
      <c r="G59" s="8" t="str">
        <f aca="false">IF($A59="","",INDEX(Listes!$C$2:$C$13,MONTH($A59)))</f>
        <v/>
      </c>
      <c r="H59" s="9"/>
    </row>
    <row r="60" customFormat="false" ht="15" hidden="false" customHeight="true" outlineLevel="0" collapsed="false">
      <c r="A60" s="5"/>
      <c r="B60" s="6"/>
      <c r="C60" s="7"/>
      <c r="D60" s="6"/>
      <c r="E60" s="6"/>
      <c r="F60" s="6"/>
      <c r="G60" s="8" t="str">
        <f aca="false">IF($A60="","",INDEX(Listes!$C$2:$C$13,MONTH($A60)))</f>
        <v/>
      </c>
      <c r="H60" s="9"/>
    </row>
    <row r="61" customFormat="false" ht="15" hidden="false" customHeight="true" outlineLevel="0" collapsed="false">
      <c r="A61" s="5"/>
      <c r="B61" s="6"/>
      <c r="C61" s="7"/>
      <c r="D61" s="6"/>
      <c r="E61" s="6"/>
      <c r="F61" s="6"/>
      <c r="G61" s="8" t="str">
        <f aca="false">IF($A61="","",INDEX(Listes!$C$2:$C$13,MONTH($A61)))</f>
        <v/>
      </c>
      <c r="H61" s="9"/>
    </row>
    <row r="62" customFormat="false" ht="15" hidden="false" customHeight="true" outlineLevel="0" collapsed="false">
      <c r="A62" s="5"/>
      <c r="B62" s="6"/>
      <c r="C62" s="7"/>
      <c r="D62" s="6"/>
      <c r="E62" s="6"/>
      <c r="F62" s="6"/>
      <c r="G62" s="8" t="str">
        <f aca="false">IF($A62="","",INDEX(Listes!$C$2:$C$13,MONTH($A62)))</f>
        <v/>
      </c>
      <c r="H62" s="9"/>
    </row>
    <row r="63" customFormat="false" ht="15" hidden="false" customHeight="true" outlineLevel="0" collapsed="false">
      <c r="A63" s="5"/>
      <c r="B63" s="6"/>
      <c r="C63" s="7"/>
      <c r="D63" s="6"/>
      <c r="E63" s="6"/>
      <c r="F63" s="6"/>
      <c r="G63" s="8" t="str">
        <f aca="false">IF($A63="","",INDEX(Listes!$C$2:$C$13,MONTH($A63)))</f>
        <v/>
      </c>
      <c r="H63" s="9"/>
    </row>
    <row r="64" customFormat="false" ht="15" hidden="false" customHeight="true" outlineLevel="0" collapsed="false">
      <c r="A64" s="5"/>
      <c r="B64" s="6"/>
      <c r="C64" s="7"/>
      <c r="D64" s="6"/>
      <c r="E64" s="6"/>
      <c r="F64" s="6"/>
      <c r="G64" s="8" t="str">
        <f aca="false">IF($A64="","",INDEX(Listes!$C$2:$C$13,MONTH($A64)))</f>
        <v/>
      </c>
      <c r="H64" s="9"/>
    </row>
    <row r="65" customFormat="false" ht="15" hidden="false" customHeight="true" outlineLevel="0" collapsed="false">
      <c r="A65" s="5"/>
      <c r="B65" s="6"/>
      <c r="C65" s="7"/>
      <c r="D65" s="6"/>
      <c r="E65" s="6"/>
      <c r="F65" s="6"/>
      <c r="G65" s="8" t="str">
        <f aca="false">IF($A65="","",INDEX(Listes!$C$2:$C$13,MONTH($A65)))</f>
        <v/>
      </c>
      <c r="H65" s="9"/>
    </row>
    <row r="66" customFormat="false" ht="15" hidden="false" customHeight="true" outlineLevel="0" collapsed="false">
      <c r="A66" s="5"/>
      <c r="B66" s="6"/>
      <c r="C66" s="7"/>
      <c r="D66" s="6"/>
      <c r="E66" s="6"/>
      <c r="F66" s="6"/>
      <c r="G66" s="8" t="str">
        <f aca="false">IF($A66="","",INDEX(Listes!$C$2:$C$13,MONTH($A66)))</f>
        <v/>
      </c>
      <c r="H66" s="9"/>
    </row>
    <row r="67" customFormat="false" ht="15" hidden="false" customHeight="true" outlineLevel="0" collapsed="false">
      <c r="A67" s="5"/>
      <c r="B67" s="6"/>
      <c r="C67" s="7"/>
      <c r="D67" s="6"/>
      <c r="E67" s="6"/>
      <c r="F67" s="6"/>
      <c r="G67" s="8" t="str">
        <f aca="false">IF($A67="","",INDEX(Listes!$C$2:$C$13,MONTH($A67)))</f>
        <v/>
      </c>
      <c r="H67" s="9"/>
    </row>
    <row r="68" customFormat="false" ht="15" hidden="false" customHeight="true" outlineLevel="0" collapsed="false">
      <c r="A68" s="5"/>
      <c r="B68" s="6"/>
      <c r="C68" s="7"/>
      <c r="D68" s="6"/>
      <c r="E68" s="6"/>
      <c r="F68" s="6"/>
      <c r="G68" s="8" t="str">
        <f aca="false">IF($A68="","",INDEX(Listes!$C$2:$C$13,MONTH($A68)))</f>
        <v/>
      </c>
      <c r="H68" s="9"/>
    </row>
    <row r="69" customFormat="false" ht="15" hidden="false" customHeight="true" outlineLevel="0" collapsed="false">
      <c r="A69" s="5"/>
      <c r="B69" s="6"/>
      <c r="C69" s="7"/>
      <c r="D69" s="6"/>
      <c r="E69" s="6"/>
      <c r="F69" s="6"/>
      <c r="G69" s="8" t="str">
        <f aca="false">IF($A69="","",INDEX(Listes!$C$2:$C$13,MONTH($A69)))</f>
        <v/>
      </c>
      <c r="H69" s="9"/>
    </row>
    <row r="70" customFormat="false" ht="15" hidden="false" customHeight="true" outlineLevel="0" collapsed="false">
      <c r="A70" s="5"/>
      <c r="B70" s="6"/>
      <c r="C70" s="7"/>
      <c r="D70" s="6"/>
      <c r="E70" s="6"/>
      <c r="F70" s="6"/>
      <c r="G70" s="8" t="str">
        <f aca="false">IF($A70="","",INDEX(Listes!$C$2:$C$13,MONTH($A70)))</f>
        <v/>
      </c>
      <c r="H70" s="9"/>
    </row>
    <row r="71" customFormat="false" ht="15" hidden="false" customHeight="true" outlineLevel="0" collapsed="false">
      <c r="A71" s="5"/>
      <c r="B71" s="6"/>
      <c r="C71" s="7"/>
      <c r="D71" s="6"/>
      <c r="E71" s="6"/>
      <c r="F71" s="6"/>
      <c r="G71" s="8" t="str">
        <f aca="false">IF($A71="","",INDEX(Listes!$C$2:$C$13,MONTH($A71)))</f>
        <v/>
      </c>
      <c r="H71" s="9"/>
    </row>
    <row r="72" customFormat="false" ht="15" hidden="false" customHeight="true" outlineLevel="0" collapsed="false">
      <c r="A72" s="5"/>
      <c r="B72" s="6"/>
      <c r="C72" s="7"/>
      <c r="D72" s="6"/>
      <c r="E72" s="6"/>
      <c r="F72" s="6"/>
      <c r="G72" s="8" t="str">
        <f aca="false">IF($A72="","",INDEX(Listes!$C$2:$C$13,MONTH($A72)))</f>
        <v/>
      </c>
      <c r="H72" s="9"/>
    </row>
    <row r="73" customFormat="false" ht="15" hidden="false" customHeight="true" outlineLevel="0" collapsed="false">
      <c r="A73" s="5"/>
      <c r="B73" s="6"/>
      <c r="C73" s="7"/>
      <c r="D73" s="6"/>
      <c r="E73" s="6"/>
      <c r="F73" s="6"/>
      <c r="G73" s="8" t="str">
        <f aca="false">IF($A73="","",INDEX(Listes!$C$2:$C$13,MONTH($A73)))</f>
        <v/>
      </c>
      <c r="H73" s="9"/>
    </row>
    <row r="74" customFormat="false" ht="15" hidden="false" customHeight="true" outlineLevel="0" collapsed="false">
      <c r="A74" s="5"/>
      <c r="B74" s="6"/>
      <c r="C74" s="7"/>
      <c r="D74" s="6"/>
      <c r="E74" s="6"/>
      <c r="F74" s="6"/>
      <c r="G74" s="8" t="str">
        <f aca="false">IF($A74="","",INDEX(Listes!$C$2:$C$13,MONTH($A74)))</f>
        <v/>
      </c>
      <c r="H74" s="9"/>
    </row>
    <row r="75" customFormat="false" ht="15" hidden="false" customHeight="true" outlineLevel="0" collapsed="false">
      <c r="A75" s="5"/>
      <c r="B75" s="6"/>
      <c r="C75" s="7"/>
      <c r="D75" s="6"/>
      <c r="E75" s="6"/>
      <c r="F75" s="6"/>
      <c r="G75" s="8" t="str">
        <f aca="false">IF($A75="","",INDEX(Listes!$C$2:$C$13,MONTH($A75)))</f>
        <v/>
      </c>
      <c r="H75" s="9"/>
    </row>
    <row r="76" customFormat="false" ht="15" hidden="false" customHeight="true" outlineLevel="0" collapsed="false">
      <c r="A76" s="5"/>
      <c r="B76" s="6"/>
      <c r="C76" s="7"/>
      <c r="D76" s="6"/>
      <c r="E76" s="6"/>
      <c r="F76" s="6"/>
      <c r="G76" s="8" t="str">
        <f aca="false">IF($A76="","",INDEX(Listes!$C$2:$C$13,MONTH($A76)))</f>
        <v/>
      </c>
      <c r="H76" s="9"/>
    </row>
    <row r="77" customFormat="false" ht="15" hidden="false" customHeight="true" outlineLevel="0" collapsed="false">
      <c r="A77" s="5"/>
      <c r="B77" s="6"/>
      <c r="C77" s="7"/>
      <c r="D77" s="6"/>
      <c r="E77" s="6"/>
      <c r="F77" s="6"/>
      <c r="G77" s="8" t="str">
        <f aca="false">IF($A77="","",INDEX(Listes!$C$2:$C$13,MONTH($A77)))</f>
        <v/>
      </c>
      <c r="H77" s="9"/>
    </row>
    <row r="78" customFormat="false" ht="15" hidden="false" customHeight="true" outlineLevel="0" collapsed="false">
      <c r="A78" s="5"/>
      <c r="B78" s="6"/>
      <c r="C78" s="7"/>
      <c r="D78" s="6"/>
      <c r="E78" s="6"/>
      <c r="F78" s="6"/>
      <c r="G78" s="8" t="str">
        <f aca="false">IF($A78="","",INDEX(Listes!$C$2:$C$13,MONTH($A78)))</f>
        <v/>
      </c>
      <c r="H78" s="9"/>
    </row>
    <row r="79" customFormat="false" ht="15" hidden="false" customHeight="true" outlineLevel="0" collapsed="false">
      <c r="A79" s="5"/>
      <c r="B79" s="6"/>
      <c r="C79" s="7"/>
      <c r="D79" s="6"/>
      <c r="E79" s="6"/>
      <c r="F79" s="6"/>
      <c r="G79" s="8" t="str">
        <f aca="false">IF($A79="","",INDEX(Listes!$C$2:$C$13,MONTH($A79)))</f>
        <v/>
      </c>
      <c r="H79" s="9"/>
    </row>
    <row r="80" customFormat="false" ht="15" hidden="false" customHeight="true" outlineLevel="0" collapsed="false">
      <c r="A80" s="5"/>
      <c r="B80" s="6"/>
      <c r="C80" s="7"/>
      <c r="D80" s="6"/>
      <c r="E80" s="6"/>
      <c r="F80" s="6"/>
      <c r="G80" s="8" t="str">
        <f aca="false">IF($A80="","",INDEX(Listes!$C$2:$C$13,MONTH($A80)))</f>
        <v/>
      </c>
      <c r="H80" s="9"/>
    </row>
    <row r="81" customFormat="false" ht="15" hidden="false" customHeight="true" outlineLevel="0" collapsed="false">
      <c r="A81" s="5"/>
      <c r="B81" s="6"/>
      <c r="C81" s="7"/>
      <c r="D81" s="6"/>
      <c r="E81" s="6"/>
      <c r="F81" s="6"/>
      <c r="G81" s="8" t="str">
        <f aca="false">IF($A81="","",INDEX(Listes!$C$2:$C$13,MONTH($A81)))</f>
        <v/>
      </c>
      <c r="H81" s="9"/>
    </row>
    <row r="82" customFormat="false" ht="15" hidden="false" customHeight="true" outlineLevel="0" collapsed="false">
      <c r="A82" s="5"/>
      <c r="B82" s="6"/>
      <c r="C82" s="7"/>
      <c r="D82" s="6"/>
      <c r="E82" s="6"/>
      <c r="F82" s="6"/>
      <c r="G82" s="8" t="str">
        <f aca="false">IF($A82="","",INDEX(Listes!$C$2:$C$13,MONTH($A82)))</f>
        <v/>
      </c>
      <c r="H82" s="9"/>
    </row>
    <row r="83" customFormat="false" ht="15" hidden="false" customHeight="true" outlineLevel="0" collapsed="false">
      <c r="A83" s="5"/>
      <c r="B83" s="6"/>
      <c r="C83" s="7"/>
      <c r="D83" s="6"/>
      <c r="E83" s="6"/>
      <c r="F83" s="6"/>
      <c r="G83" s="8" t="str">
        <f aca="false">IF($A83="","",INDEX(Listes!$C$2:$C$13,MONTH($A83)))</f>
        <v/>
      </c>
      <c r="H83" s="9"/>
    </row>
    <row r="84" customFormat="false" ht="15" hidden="false" customHeight="true" outlineLevel="0" collapsed="false">
      <c r="A84" s="5"/>
      <c r="B84" s="6"/>
      <c r="C84" s="7"/>
      <c r="D84" s="6"/>
      <c r="E84" s="6"/>
      <c r="F84" s="6"/>
      <c r="G84" s="8" t="str">
        <f aca="false">IF($A84="","",INDEX(Listes!$C$2:$C$13,MONTH($A84)))</f>
        <v/>
      </c>
      <c r="H84" s="9"/>
    </row>
    <row r="85" customFormat="false" ht="15" hidden="false" customHeight="true" outlineLevel="0" collapsed="false">
      <c r="A85" s="5"/>
      <c r="B85" s="6"/>
      <c r="C85" s="7"/>
      <c r="D85" s="6"/>
      <c r="E85" s="6"/>
      <c r="F85" s="6"/>
      <c r="G85" s="8" t="str">
        <f aca="false">IF($A85="","",INDEX(Listes!$C$2:$C$13,MONTH($A85)))</f>
        <v/>
      </c>
      <c r="H85" s="9"/>
    </row>
    <row r="86" customFormat="false" ht="15" hidden="false" customHeight="true" outlineLevel="0" collapsed="false">
      <c r="A86" s="5"/>
      <c r="B86" s="6"/>
      <c r="C86" s="7"/>
      <c r="D86" s="6"/>
      <c r="E86" s="6"/>
      <c r="F86" s="6"/>
      <c r="G86" s="8" t="str">
        <f aca="false">IF($A86="","",INDEX(Listes!$C$2:$C$13,MONTH($A86)))</f>
        <v/>
      </c>
      <c r="H86" s="9"/>
    </row>
    <row r="87" customFormat="false" ht="15" hidden="false" customHeight="true" outlineLevel="0" collapsed="false">
      <c r="A87" s="5"/>
      <c r="B87" s="6"/>
      <c r="C87" s="7"/>
      <c r="D87" s="6"/>
      <c r="E87" s="6"/>
      <c r="F87" s="6"/>
      <c r="G87" s="8" t="str">
        <f aca="false">IF($A87="","",INDEX(Listes!$C$2:$C$13,MONTH($A87)))</f>
        <v/>
      </c>
      <c r="H87" s="9"/>
    </row>
    <row r="88" customFormat="false" ht="15" hidden="false" customHeight="true" outlineLevel="0" collapsed="false">
      <c r="A88" s="5"/>
      <c r="B88" s="6"/>
      <c r="C88" s="7"/>
      <c r="D88" s="6"/>
      <c r="E88" s="6"/>
      <c r="F88" s="6"/>
      <c r="G88" s="8" t="str">
        <f aca="false">IF($A88="","",INDEX(Listes!$C$2:$C$13,MONTH($A88)))</f>
        <v/>
      </c>
      <c r="H88" s="9"/>
    </row>
    <row r="89" customFormat="false" ht="15" hidden="false" customHeight="true" outlineLevel="0" collapsed="false">
      <c r="A89" s="5"/>
      <c r="B89" s="6"/>
      <c r="C89" s="7"/>
      <c r="D89" s="6"/>
      <c r="E89" s="6"/>
      <c r="F89" s="6"/>
      <c r="G89" s="8" t="str">
        <f aca="false">IF($A89="","",INDEX(Listes!$C$2:$C$13,MONTH($A89)))</f>
        <v/>
      </c>
      <c r="H89" s="9"/>
    </row>
    <row r="90" customFormat="false" ht="15" hidden="false" customHeight="true" outlineLevel="0" collapsed="false">
      <c r="A90" s="5"/>
      <c r="B90" s="6"/>
      <c r="C90" s="7"/>
      <c r="D90" s="6"/>
      <c r="E90" s="6"/>
      <c r="F90" s="6"/>
      <c r="G90" s="8" t="str">
        <f aca="false">IF($A90="","",INDEX(Listes!$C$2:$C$13,MONTH($A90)))</f>
        <v/>
      </c>
      <c r="H90" s="9"/>
    </row>
    <row r="91" customFormat="false" ht="15" hidden="false" customHeight="true" outlineLevel="0" collapsed="false">
      <c r="A91" s="5"/>
      <c r="B91" s="6"/>
      <c r="C91" s="7"/>
      <c r="D91" s="6"/>
      <c r="E91" s="6"/>
      <c r="F91" s="6"/>
      <c r="G91" s="8" t="str">
        <f aca="false">IF($A91="","",INDEX(Listes!$C$2:$C$13,MONTH($A91)))</f>
        <v/>
      </c>
      <c r="H91" s="9"/>
    </row>
    <row r="92" customFormat="false" ht="15" hidden="false" customHeight="true" outlineLevel="0" collapsed="false">
      <c r="A92" s="5"/>
      <c r="B92" s="6"/>
      <c r="C92" s="7"/>
      <c r="D92" s="6"/>
      <c r="E92" s="6"/>
      <c r="F92" s="6"/>
      <c r="G92" s="8" t="str">
        <f aca="false">IF($A92="","",INDEX(Listes!$C$2:$C$13,MONTH($A92)))</f>
        <v/>
      </c>
      <c r="H92" s="9"/>
    </row>
    <row r="93" customFormat="false" ht="15" hidden="false" customHeight="true" outlineLevel="0" collapsed="false">
      <c r="A93" s="5"/>
      <c r="B93" s="6"/>
      <c r="C93" s="7"/>
      <c r="D93" s="6"/>
      <c r="E93" s="6"/>
      <c r="F93" s="6"/>
      <c r="G93" s="8" t="str">
        <f aca="false">IF($A93="","",INDEX(Listes!$C$2:$C$13,MONTH($A93)))</f>
        <v/>
      </c>
      <c r="H93" s="9"/>
    </row>
    <row r="94" customFormat="false" ht="15" hidden="false" customHeight="true" outlineLevel="0" collapsed="false">
      <c r="A94" s="5"/>
      <c r="B94" s="6"/>
      <c r="C94" s="7"/>
      <c r="D94" s="6"/>
      <c r="E94" s="6"/>
      <c r="F94" s="6"/>
      <c r="G94" s="8" t="str">
        <f aca="false">IF($A94="","",INDEX(Listes!$C$2:$C$13,MONTH($A94)))</f>
        <v/>
      </c>
      <c r="H94" s="9"/>
    </row>
    <row r="95" customFormat="false" ht="15" hidden="false" customHeight="true" outlineLevel="0" collapsed="false">
      <c r="A95" s="5"/>
      <c r="B95" s="6"/>
      <c r="C95" s="7"/>
      <c r="D95" s="6"/>
      <c r="E95" s="6"/>
      <c r="F95" s="6"/>
      <c r="G95" s="8" t="str">
        <f aca="false">IF($A95="","",INDEX(Listes!$C$2:$C$13,MONTH($A95)))</f>
        <v/>
      </c>
      <c r="H95" s="9"/>
    </row>
    <row r="96" customFormat="false" ht="15" hidden="false" customHeight="true" outlineLevel="0" collapsed="false">
      <c r="A96" s="5"/>
      <c r="B96" s="6"/>
      <c r="C96" s="7"/>
      <c r="D96" s="6"/>
      <c r="E96" s="6"/>
      <c r="F96" s="6"/>
      <c r="G96" s="8" t="str">
        <f aca="false">IF($A96="","",INDEX(Listes!$C$2:$C$13,MONTH($A96)))</f>
        <v/>
      </c>
      <c r="H96" s="9"/>
    </row>
    <row r="97" customFormat="false" ht="15" hidden="false" customHeight="true" outlineLevel="0" collapsed="false">
      <c r="A97" s="5"/>
      <c r="B97" s="6"/>
      <c r="C97" s="7"/>
      <c r="D97" s="6"/>
      <c r="E97" s="6"/>
      <c r="F97" s="6"/>
      <c r="G97" s="8" t="str">
        <f aca="false">IF($A97="","",INDEX(Listes!$C$2:$C$13,MONTH($A97)))</f>
        <v/>
      </c>
      <c r="H97" s="9"/>
    </row>
    <row r="98" customFormat="false" ht="15" hidden="false" customHeight="true" outlineLevel="0" collapsed="false">
      <c r="A98" s="5"/>
      <c r="B98" s="6"/>
      <c r="C98" s="7"/>
      <c r="D98" s="6"/>
      <c r="E98" s="6"/>
      <c r="F98" s="6"/>
      <c r="G98" s="8" t="str">
        <f aca="false">IF($A98="","",INDEX(Listes!$C$2:$C$13,MONTH($A98)))</f>
        <v/>
      </c>
      <c r="H98" s="9"/>
    </row>
    <row r="99" customFormat="false" ht="15" hidden="false" customHeight="true" outlineLevel="0" collapsed="false">
      <c r="A99" s="5"/>
      <c r="B99" s="6"/>
      <c r="C99" s="7"/>
      <c r="D99" s="6"/>
      <c r="E99" s="6"/>
      <c r="F99" s="6"/>
      <c r="G99" s="8" t="str">
        <f aca="false">IF($A99="","",INDEX(Listes!$C$2:$C$13,MONTH($A99)))</f>
        <v/>
      </c>
      <c r="H99" s="9"/>
    </row>
    <row r="100" customFormat="false" ht="15" hidden="false" customHeight="true" outlineLevel="0" collapsed="false">
      <c r="A100" s="5"/>
      <c r="B100" s="6"/>
      <c r="C100" s="7"/>
      <c r="D100" s="6"/>
      <c r="E100" s="6"/>
      <c r="F100" s="6"/>
      <c r="G100" s="8" t="str">
        <f aca="false">IF($A100="","",INDEX(Listes!$C$2:$C$13,MONTH($A100)))</f>
        <v/>
      </c>
      <c r="H100" s="9"/>
    </row>
    <row r="101" customFormat="false" ht="15" hidden="false" customHeight="true" outlineLevel="0" collapsed="false">
      <c r="A101" s="5"/>
      <c r="B101" s="6"/>
      <c r="C101" s="7"/>
      <c r="D101" s="6"/>
      <c r="E101" s="6"/>
      <c r="F101" s="6"/>
      <c r="G101" s="8" t="str">
        <f aca="false">IF($A101="","",INDEX(Listes!$C$2:$C$13,MONTH($A101)))</f>
        <v/>
      </c>
      <c r="H101" s="9"/>
    </row>
    <row r="102" customFormat="false" ht="15" hidden="false" customHeight="true" outlineLevel="0" collapsed="false">
      <c r="A102" s="5"/>
      <c r="B102" s="6"/>
      <c r="C102" s="7"/>
      <c r="D102" s="6"/>
      <c r="E102" s="6"/>
      <c r="F102" s="6"/>
      <c r="G102" s="8" t="str">
        <f aca="false">IF($A102="","",INDEX(Listes!$C$2:$C$13,MONTH($A102)))</f>
        <v/>
      </c>
      <c r="H102" s="9"/>
    </row>
    <row r="103" customFormat="false" ht="15" hidden="false" customHeight="true" outlineLevel="0" collapsed="false">
      <c r="A103" s="5"/>
      <c r="B103" s="6"/>
      <c r="C103" s="7"/>
      <c r="D103" s="6"/>
      <c r="E103" s="6"/>
      <c r="F103" s="6"/>
      <c r="G103" s="8" t="str">
        <f aca="false">IF($A103="","",INDEX(Listes!$C$2:$C$13,MONTH($A103)))</f>
        <v/>
      </c>
      <c r="H103" s="9"/>
    </row>
    <row r="104" customFormat="false" ht="15" hidden="false" customHeight="true" outlineLevel="0" collapsed="false">
      <c r="A104" s="5"/>
      <c r="B104" s="6"/>
      <c r="C104" s="7"/>
      <c r="D104" s="6"/>
      <c r="E104" s="6"/>
      <c r="F104" s="6"/>
      <c r="G104" s="8" t="str">
        <f aca="false">IF($A104="","",INDEX(Listes!$C$2:$C$13,MONTH($A104)))</f>
        <v/>
      </c>
      <c r="H104" s="9"/>
    </row>
    <row r="105" customFormat="false" ht="15" hidden="false" customHeight="true" outlineLevel="0" collapsed="false">
      <c r="A105" s="5"/>
      <c r="B105" s="6"/>
      <c r="C105" s="7"/>
      <c r="D105" s="6"/>
      <c r="E105" s="6"/>
      <c r="F105" s="6"/>
      <c r="G105" s="8" t="str">
        <f aca="false">IF($A105="","",INDEX(Listes!$C$2:$C$13,MONTH($A105)))</f>
        <v/>
      </c>
      <c r="H105" s="9"/>
    </row>
    <row r="106" customFormat="false" ht="15" hidden="false" customHeight="true" outlineLevel="0" collapsed="false">
      <c r="A106" s="5"/>
      <c r="B106" s="6"/>
      <c r="C106" s="7"/>
      <c r="D106" s="6"/>
      <c r="E106" s="6"/>
      <c r="F106" s="6"/>
      <c r="G106" s="8" t="str">
        <f aca="false">IF($A106="","",INDEX(Listes!$C$2:$C$13,MONTH($A106)))</f>
        <v/>
      </c>
      <c r="H106" s="9"/>
    </row>
    <row r="107" customFormat="false" ht="15" hidden="false" customHeight="true" outlineLevel="0" collapsed="false">
      <c r="A107" s="5"/>
      <c r="B107" s="6"/>
      <c r="C107" s="7"/>
      <c r="D107" s="6"/>
      <c r="E107" s="6"/>
      <c r="F107" s="6"/>
      <c r="G107" s="8" t="str">
        <f aca="false">IF($A107="","",INDEX(Listes!$C$2:$C$13,MONTH($A107)))</f>
        <v/>
      </c>
      <c r="H107" s="9"/>
    </row>
    <row r="108" customFormat="false" ht="15" hidden="false" customHeight="true" outlineLevel="0" collapsed="false">
      <c r="A108" s="5"/>
      <c r="B108" s="6"/>
      <c r="C108" s="7"/>
      <c r="D108" s="6"/>
      <c r="E108" s="6"/>
      <c r="F108" s="6"/>
      <c r="G108" s="8" t="str">
        <f aca="false">IF($A108="","",INDEX(Listes!$C$2:$C$13,MONTH($A108)))</f>
        <v/>
      </c>
      <c r="H108" s="9"/>
    </row>
    <row r="109" customFormat="false" ht="15" hidden="false" customHeight="true" outlineLevel="0" collapsed="false">
      <c r="A109" s="5"/>
      <c r="B109" s="6"/>
      <c r="C109" s="7"/>
      <c r="D109" s="6"/>
      <c r="E109" s="6"/>
      <c r="F109" s="6"/>
      <c r="G109" s="8" t="str">
        <f aca="false">IF($A109="","",INDEX(Listes!$C$2:$C$13,MONTH($A109)))</f>
        <v/>
      </c>
      <c r="H109" s="9"/>
    </row>
    <row r="110" customFormat="false" ht="15" hidden="false" customHeight="true" outlineLevel="0" collapsed="false">
      <c r="A110" s="5"/>
      <c r="B110" s="6"/>
      <c r="C110" s="7"/>
      <c r="D110" s="6"/>
      <c r="E110" s="6"/>
      <c r="F110" s="6"/>
      <c r="G110" s="8" t="str">
        <f aca="false">IF($A110="","",INDEX(Listes!$C$2:$C$13,MONTH($A110)))</f>
        <v/>
      </c>
      <c r="H110" s="9"/>
    </row>
    <row r="111" customFormat="false" ht="15" hidden="false" customHeight="true" outlineLevel="0" collapsed="false">
      <c r="A111" s="5"/>
      <c r="B111" s="6"/>
      <c r="C111" s="7"/>
      <c r="D111" s="6"/>
      <c r="E111" s="6"/>
      <c r="F111" s="6"/>
      <c r="G111" s="8" t="str">
        <f aca="false">IF($A111="","",INDEX(Listes!$C$2:$C$13,MONTH($A111)))</f>
        <v/>
      </c>
      <c r="H111" s="9"/>
    </row>
    <row r="112" customFormat="false" ht="15" hidden="false" customHeight="true" outlineLevel="0" collapsed="false">
      <c r="A112" s="5"/>
      <c r="B112" s="6"/>
      <c r="C112" s="7"/>
      <c r="D112" s="6"/>
      <c r="E112" s="6"/>
      <c r="F112" s="6"/>
      <c r="G112" s="8" t="str">
        <f aca="false">IF($A112="","",INDEX(Listes!$C$2:$C$13,MONTH($A112)))</f>
        <v/>
      </c>
      <c r="H112" s="9"/>
    </row>
    <row r="113" customFormat="false" ht="15" hidden="false" customHeight="true" outlineLevel="0" collapsed="false">
      <c r="A113" s="5"/>
      <c r="B113" s="6"/>
      <c r="C113" s="7"/>
      <c r="D113" s="6"/>
      <c r="E113" s="6"/>
      <c r="F113" s="6"/>
      <c r="G113" s="8" t="str">
        <f aca="false">IF($A113="","",INDEX(Listes!$C$2:$C$13,MONTH($A113)))</f>
        <v/>
      </c>
      <c r="H113" s="9"/>
    </row>
    <row r="114" customFormat="false" ht="15" hidden="false" customHeight="true" outlineLevel="0" collapsed="false">
      <c r="A114" s="5"/>
      <c r="B114" s="6"/>
      <c r="C114" s="7"/>
      <c r="D114" s="6"/>
      <c r="E114" s="6"/>
      <c r="F114" s="6"/>
      <c r="G114" s="8" t="str">
        <f aca="false">IF($A114="","",INDEX(Listes!$C$2:$C$13,MONTH($A114)))</f>
        <v/>
      </c>
      <c r="H114" s="9"/>
    </row>
    <row r="115" customFormat="false" ht="15" hidden="false" customHeight="true" outlineLevel="0" collapsed="false">
      <c r="A115" s="5"/>
      <c r="B115" s="6"/>
      <c r="C115" s="7"/>
      <c r="D115" s="6"/>
      <c r="E115" s="6"/>
      <c r="F115" s="6"/>
      <c r="G115" s="8" t="str">
        <f aca="false">IF($A115="","",INDEX(Listes!$C$2:$C$13,MONTH($A115)))</f>
        <v/>
      </c>
      <c r="H115" s="9"/>
    </row>
    <row r="116" customFormat="false" ht="15" hidden="false" customHeight="true" outlineLevel="0" collapsed="false">
      <c r="A116" s="5"/>
      <c r="B116" s="6"/>
      <c r="C116" s="7"/>
      <c r="D116" s="6"/>
      <c r="E116" s="6"/>
      <c r="F116" s="6"/>
      <c r="G116" s="8" t="str">
        <f aca="false">IF($A116="","",INDEX(Listes!$C$2:$C$13,MONTH($A116)))</f>
        <v/>
      </c>
      <c r="H116" s="9"/>
    </row>
    <row r="117" customFormat="false" ht="15" hidden="false" customHeight="true" outlineLevel="0" collapsed="false">
      <c r="A117" s="5"/>
      <c r="B117" s="6"/>
      <c r="C117" s="7"/>
      <c r="D117" s="6"/>
      <c r="E117" s="6"/>
      <c r="F117" s="6"/>
      <c r="G117" s="8" t="str">
        <f aca="false">IF($A117="","",INDEX(Listes!$C$2:$C$13,MONTH($A117)))</f>
        <v/>
      </c>
      <c r="H117" s="9"/>
    </row>
    <row r="118" customFormat="false" ht="15" hidden="false" customHeight="true" outlineLevel="0" collapsed="false">
      <c r="A118" s="5"/>
      <c r="B118" s="6"/>
      <c r="C118" s="7"/>
      <c r="D118" s="6"/>
      <c r="E118" s="6"/>
      <c r="F118" s="6"/>
      <c r="G118" s="8" t="str">
        <f aca="false">IF($A118="","",INDEX(Listes!$C$2:$C$13,MONTH($A118)))</f>
        <v/>
      </c>
      <c r="H118" s="9"/>
    </row>
    <row r="119" customFormat="false" ht="15" hidden="false" customHeight="true" outlineLevel="0" collapsed="false">
      <c r="A119" s="5"/>
      <c r="B119" s="6"/>
      <c r="C119" s="7"/>
      <c r="D119" s="6"/>
      <c r="E119" s="6"/>
      <c r="F119" s="6"/>
      <c r="G119" s="8" t="str">
        <f aca="false">IF($A119="","",INDEX(Listes!$C$2:$C$13,MONTH($A119)))</f>
        <v/>
      </c>
      <c r="H119" s="9"/>
    </row>
    <row r="120" customFormat="false" ht="15" hidden="false" customHeight="true" outlineLevel="0" collapsed="false">
      <c r="A120" s="5"/>
      <c r="B120" s="6"/>
      <c r="C120" s="7"/>
      <c r="D120" s="6"/>
      <c r="E120" s="6"/>
      <c r="F120" s="6"/>
      <c r="G120" s="8" t="str">
        <f aca="false">IF($A120="","",INDEX(Listes!$C$2:$C$13,MONTH($A120)))</f>
        <v/>
      </c>
      <c r="H120" s="9"/>
    </row>
    <row r="121" customFormat="false" ht="15" hidden="false" customHeight="true" outlineLevel="0" collapsed="false">
      <c r="A121" s="5"/>
      <c r="B121" s="6"/>
      <c r="C121" s="7"/>
      <c r="D121" s="6"/>
      <c r="E121" s="6"/>
      <c r="F121" s="6"/>
      <c r="G121" s="8" t="str">
        <f aca="false">IF($A121="","",INDEX(Listes!$C$2:$C$13,MONTH($A121)))</f>
        <v/>
      </c>
      <c r="H121" s="9"/>
    </row>
    <row r="122" customFormat="false" ht="15" hidden="false" customHeight="true" outlineLevel="0" collapsed="false">
      <c r="A122" s="5"/>
      <c r="B122" s="6"/>
      <c r="C122" s="7"/>
      <c r="D122" s="6"/>
      <c r="E122" s="6"/>
      <c r="F122" s="6"/>
      <c r="G122" s="8" t="str">
        <f aca="false">IF($A122="","",INDEX(Listes!$C$2:$C$13,MONTH($A122)))</f>
        <v/>
      </c>
      <c r="H122" s="9"/>
    </row>
    <row r="123" customFormat="false" ht="15" hidden="false" customHeight="true" outlineLevel="0" collapsed="false">
      <c r="A123" s="5"/>
      <c r="B123" s="6"/>
      <c r="C123" s="7"/>
      <c r="D123" s="6"/>
      <c r="E123" s="6"/>
      <c r="F123" s="6"/>
      <c r="G123" s="8" t="str">
        <f aca="false">IF($A123="","",INDEX(Listes!$C$2:$C$13,MONTH($A123)))</f>
        <v/>
      </c>
      <c r="H123" s="9"/>
    </row>
    <row r="124" customFormat="false" ht="15" hidden="false" customHeight="true" outlineLevel="0" collapsed="false">
      <c r="A124" s="5"/>
      <c r="B124" s="6"/>
      <c r="C124" s="7"/>
      <c r="D124" s="6"/>
      <c r="E124" s="6"/>
      <c r="F124" s="6"/>
      <c r="G124" s="8" t="str">
        <f aca="false">IF($A124="","",INDEX(Listes!$C$2:$C$13,MONTH($A124)))</f>
        <v/>
      </c>
      <c r="H124" s="9"/>
    </row>
    <row r="125" customFormat="false" ht="15" hidden="false" customHeight="true" outlineLevel="0" collapsed="false">
      <c r="A125" s="5"/>
      <c r="B125" s="6"/>
      <c r="C125" s="7"/>
      <c r="D125" s="6"/>
      <c r="E125" s="6"/>
      <c r="F125" s="6"/>
      <c r="G125" s="8" t="str">
        <f aca="false">IF($A125="","",INDEX(Listes!$C$2:$C$13,MONTH($A125)))</f>
        <v/>
      </c>
      <c r="H125" s="9"/>
    </row>
    <row r="126" customFormat="false" ht="15" hidden="false" customHeight="true" outlineLevel="0" collapsed="false">
      <c r="A126" s="5"/>
      <c r="B126" s="6"/>
      <c r="C126" s="7"/>
      <c r="D126" s="6"/>
      <c r="E126" s="6"/>
      <c r="F126" s="6"/>
      <c r="G126" s="8" t="str">
        <f aca="false">IF($A126="","",INDEX(Listes!$C$2:$C$13,MONTH($A126)))</f>
        <v/>
      </c>
      <c r="H126" s="9"/>
    </row>
    <row r="127" customFormat="false" ht="15" hidden="false" customHeight="true" outlineLevel="0" collapsed="false">
      <c r="A127" s="5"/>
      <c r="B127" s="6"/>
      <c r="C127" s="7"/>
      <c r="D127" s="6"/>
      <c r="E127" s="6"/>
      <c r="F127" s="6"/>
      <c r="G127" s="8" t="str">
        <f aca="false">IF($A127="","",INDEX(Listes!$C$2:$C$13,MONTH($A127)))</f>
        <v/>
      </c>
      <c r="H127" s="9"/>
    </row>
    <row r="128" customFormat="false" ht="15" hidden="false" customHeight="true" outlineLevel="0" collapsed="false">
      <c r="A128" s="5"/>
      <c r="B128" s="6"/>
      <c r="C128" s="7"/>
      <c r="D128" s="6"/>
      <c r="E128" s="6"/>
      <c r="F128" s="6"/>
      <c r="G128" s="8" t="str">
        <f aca="false">IF($A128="","",INDEX(Listes!$C$2:$C$13,MONTH($A128)))</f>
        <v/>
      </c>
      <c r="H128" s="9"/>
    </row>
    <row r="129" customFormat="false" ht="15" hidden="false" customHeight="true" outlineLevel="0" collapsed="false">
      <c r="A129" s="5"/>
      <c r="B129" s="6"/>
      <c r="C129" s="7"/>
      <c r="D129" s="6"/>
      <c r="E129" s="6"/>
      <c r="F129" s="6"/>
      <c r="G129" s="8" t="str">
        <f aca="false">IF($A129="","",INDEX(Listes!$C$2:$C$13,MONTH($A129)))</f>
        <v/>
      </c>
      <c r="H129" s="9"/>
    </row>
    <row r="130" customFormat="false" ht="15" hidden="false" customHeight="true" outlineLevel="0" collapsed="false">
      <c r="A130" s="5"/>
      <c r="B130" s="6"/>
      <c r="C130" s="7"/>
      <c r="D130" s="6"/>
      <c r="E130" s="6"/>
      <c r="F130" s="6"/>
      <c r="G130" s="8" t="str">
        <f aca="false">IF($A130="","",INDEX(Listes!$C$2:$C$13,MONTH($A130)))</f>
        <v/>
      </c>
      <c r="H130" s="9"/>
    </row>
    <row r="131" customFormat="false" ht="15" hidden="false" customHeight="true" outlineLevel="0" collapsed="false">
      <c r="A131" s="5"/>
      <c r="B131" s="6"/>
      <c r="C131" s="7"/>
      <c r="D131" s="6"/>
      <c r="E131" s="6"/>
      <c r="F131" s="6"/>
      <c r="G131" s="8" t="str">
        <f aca="false">IF($A131="","",INDEX(Listes!$C$2:$C$13,MONTH($A131)))</f>
        <v/>
      </c>
      <c r="H131" s="9"/>
    </row>
    <row r="132" customFormat="false" ht="15" hidden="false" customHeight="true" outlineLevel="0" collapsed="false">
      <c r="A132" s="5"/>
      <c r="B132" s="6"/>
      <c r="C132" s="7"/>
      <c r="D132" s="6"/>
      <c r="E132" s="6"/>
      <c r="F132" s="6"/>
      <c r="G132" s="8" t="str">
        <f aca="false">IF($A132="","",INDEX(Listes!$C$2:$C$13,MONTH($A132)))</f>
        <v/>
      </c>
      <c r="H132" s="9"/>
    </row>
    <row r="133" customFormat="false" ht="15" hidden="false" customHeight="true" outlineLevel="0" collapsed="false">
      <c r="A133" s="5"/>
      <c r="B133" s="6"/>
      <c r="C133" s="7"/>
      <c r="D133" s="6"/>
      <c r="E133" s="6"/>
      <c r="F133" s="6"/>
      <c r="G133" s="8" t="str">
        <f aca="false">IF($A133="","",INDEX(Listes!$C$2:$C$13,MONTH($A133)))</f>
        <v/>
      </c>
      <c r="H133" s="9"/>
    </row>
    <row r="134" customFormat="false" ht="15" hidden="false" customHeight="true" outlineLevel="0" collapsed="false">
      <c r="A134" s="5"/>
      <c r="B134" s="6"/>
      <c r="C134" s="7"/>
      <c r="D134" s="6"/>
      <c r="E134" s="6"/>
      <c r="F134" s="6"/>
      <c r="G134" s="8" t="str">
        <f aca="false">IF($A134="","",INDEX(Listes!$C$2:$C$13,MONTH($A134)))</f>
        <v/>
      </c>
      <c r="H134" s="9"/>
    </row>
    <row r="135" customFormat="false" ht="15" hidden="false" customHeight="true" outlineLevel="0" collapsed="false">
      <c r="A135" s="5"/>
      <c r="B135" s="6"/>
      <c r="C135" s="7"/>
      <c r="D135" s="6"/>
      <c r="E135" s="6"/>
      <c r="F135" s="6"/>
      <c r="G135" s="8" t="str">
        <f aca="false">IF($A135="","",INDEX(Listes!$C$2:$C$13,MONTH($A135)))</f>
        <v/>
      </c>
      <c r="H135" s="9"/>
    </row>
    <row r="136" customFormat="false" ht="15" hidden="false" customHeight="true" outlineLevel="0" collapsed="false">
      <c r="A136" s="5"/>
      <c r="B136" s="6"/>
      <c r="C136" s="7"/>
      <c r="D136" s="6"/>
      <c r="E136" s="6"/>
      <c r="F136" s="6"/>
      <c r="G136" s="8" t="str">
        <f aca="false">IF($A136="","",INDEX(Listes!$C$2:$C$13,MONTH($A136)))</f>
        <v/>
      </c>
      <c r="H136" s="9"/>
    </row>
    <row r="137" customFormat="false" ht="15" hidden="false" customHeight="true" outlineLevel="0" collapsed="false">
      <c r="A137" s="5"/>
      <c r="B137" s="6"/>
      <c r="C137" s="7"/>
      <c r="D137" s="6"/>
      <c r="E137" s="6"/>
      <c r="F137" s="6"/>
      <c r="G137" s="8" t="str">
        <f aca="false">IF($A137="","",INDEX(Listes!$C$2:$C$13,MONTH($A137)))</f>
        <v/>
      </c>
      <c r="H137" s="9"/>
    </row>
    <row r="138" customFormat="false" ht="15" hidden="false" customHeight="true" outlineLevel="0" collapsed="false">
      <c r="A138" s="5"/>
      <c r="B138" s="6"/>
      <c r="C138" s="7"/>
      <c r="D138" s="6"/>
      <c r="E138" s="6"/>
      <c r="F138" s="6"/>
      <c r="G138" s="8" t="str">
        <f aca="false">IF($A138="","",INDEX(Listes!$C$2:$C$13,MONTH($A138)))</f>
        <v/>
      </c>
      <c r="H138" s="9"/>
    </row>
    <row r="139" customFormat="false" ht="15" hidden="false" customHeight="true" outlineLevel="0" collapsed="false">
      <c r="A139" s="5"/>
      <c r="B139" s="6"/>
      <c r="C139" s="7"/>
      <c r="D139" s="6"/>
      <c r="E139" s="6"/>
      <c r="F139" s="6"/>
      <c r="G139" s="8" t="str">
        <f aca="false">IF($A139="","",INDEX(Listes!$C$2:$C$13,MONTH($A139)))</f>
        <v/>
      </c>
      <c r="H139" s="9"/>
    </row>
    <row r="140" customFormat="false" ht="15" hidden="false" customHeight="true" outlineLevel="0" collapsed="false">
      <c r="A140" s="5"/>
      <c r="B140" s="6"/>
      <c r="C140" s="7"/>
      <c r="D140" s="6"/>
      <c r="E140" s="6"/>
      <c r="F140" s="6"/>
      <c r="G140" s="8" t="str">
        <f aca="false">IF($A140="","",INDEX(Listes!$C$2:$C$13,MONTH($A140)))</f>
        <v/>
      </c>
      <c r="H140" s="9"/>
    </row>
    <row r="141" customFormat="false" ht="15" hidden="false" customHeight="true" outlineLevel="0" collapsed="false">
      <c r="A141" s="5"/>
      <c r="B141" s="6"/>
      <c r="C141" s="7"/>
      <c r="D141" s="6"/>
      <c r="E141" s="6"/>
      <c r="F141" s="6"/>
      <c r="G141" s="8" t="str">
        <f aca="false">IF($A141="","",INDEX(Listes!$C$2:$C$13,MONTH($A141)))</f>
        <v/>
      </c>
      <c r="H141" s="9"/>
    </row>
    <row r="142" customFormat="false" ht="15" hidden="false" customHeight="true" outlineLevel="0" collapsed="false">
      <c r="A142" s="5"/>
      <c r="B142" s="6"/>
      <c r="C142" s="7"/>
      <c r="D142" s="6"/>
      <c r="E142" s="6"/>
      <c r="F142" s="6"/>
      <c r="G142" s="8" t="str">
        <f aca="false">IF($A142="","",INDEX(Listes!$C$2:$C$13,MONTH($A142)))</f>
        <v/>
      </c>
      <c r="H142" s="9"/>
    </row>
    <row r="143" customFormat="false" ht="15" hidden="false" customHeight="true" outlineLevel="0" collapsed="false">
      <c r="A143" s="5"/>
      <c r="B143" s="6"/>
      <c r="C143" s="7"/>
      <c r="D143" s="6"/>
      <c r="E143" s="6"/>
      <c r="F143" s="6"/>
      <c r="G143" s="8" t="str">
        <f aca="false">IF($A143="","",INDEX(Listes!$C$2:$C$13,MONTH($A143)))</f>
        <v/>
      </c>
      <c r="H143" s="9"/>
    </row>
    <row r="144" customFormat="false" ht="15" hidden="false" customHeight="true" outlineLevel="0" collapsed="false">
      <c r="A144" s="5"/>
      <c r="B144" s="6"/>
      <c r="C144" s="7"/>
      <c r="D144" s="6"/>
      <c r="E144" s="6"/>
      <c r="F144" s="6"/>
      <c r="G144" s="8" t="str">
        <f aca="false">IF($A144="","",INDEX(Listes!$C$2:$C$13,MONTH($A144)))</f>
        <v/>
      </c>
      <c r="H144" s="9"/>
    </row>
    <row r="145" customFormat="false" ht="15" hidden="false" customHeight="true" outlineLevel="0" collapsed="false">
      <c r="A145" s="5"/>
      <c r="B145" s="6"/>
      <c r="C145" s="7"/>
      <c r="D145" s="6"/>
      <c r="E145" s="6"/>
      <c r="F145" s="6"/>
      <c r="G145" s="8" t="str">
        <f aca="false">IF($A145="","",INDEX(Listes!$C$2:$C$13,MONTH($A145)))</f>
        <v/>
      </c>
      <c r="H145" s="9"/>
    </row>
    <row r="146" customFormat="false" ht="15" hidden="false" customHeight="true" outlineLevel="0" collapsed="false">
      <c r="A146" s="5"/>
      <c r="B146" s="6"/>
      <c r="C146" s="7"/>
      <c r="D146" s="6"/>
      <c r="E146" s="6"/>
      <c r="F146" s="6"/>
      <c r="G146" s="8" t="str">
        <f aca="false">IF($A146="","",INDEX(Listes!$C$2:$C$13,MONTH($A146)))</f>
        <v/>
      </c>
      <c r="H146" s="9"/>
    </row>
    <row r="147" customFormat="false" ht="15" hidden="false" customHeight="true" outlineLevel="0" collapsed="false">
      <c r="A147" s="5"/>
      <c r="B147" s="6"/>
      <c r="C147" s="7"/>
      <c r="D147" s="6"/>
      <c r="E147" s="6"/>
      <c r="F147" s="6"/>
      <c r="G147" s="8" t="str">
        <f aca="false">IF($A147="","",INDEX(Listes!$C$2:$C$13,MONTH($A147)))</f>
        <v/>
      </c>
      <c r="H147" s="9"/>
    </row>
    <row r="148" customFormat="false" ht="15" hidden="false" customHeight="true" outlineLevel="0" collapsed="false">
      <c r="A148" s="5"/>
      <c r="B148" s="6"/>
      <c r="C148" s="7"/>
      <c r="D148" s="6"/>
      <c r="E148" s="6"/>
      <c r="F148" s="6"/>
      <c r="G148" s="8" t="str">
        <f aca="false">IF($A148="","",INDEX(Listes!$C$2:$C$13,MONTH($A148)))</f>
        <v/>
      </c>
      <c r="H148" s="9"/>
    </row>
    <row r="149" customFormat="false" ht="15" hidden="false" customHeight="true" outlineLevel="0" collapsed="false">
      <c r="A149" s="5"/>
      <c r="B149" s="6"/>
      <c r="C149" s="7"/>
      <c r="D149" s="6"/>
      <c r="E149" s="6"/>
      <c r="F149" s="6"/>
      <c r="G149" s="8" t="str">
        <f aca="false">IF($A149="","",INDEX(Listes!$C$2:$C$13,MONTH($A149)))</f>
        <v/>
      </c>
      <c r="H149" s="9"/>
    </row>
    <row r="150" customFormat="false" ht="15" hidden="false" customHeight="true" outlineLevel="0" collapsed="false">
      <c r="A150" s="5"/>
      <c r="B150" s="6"/>
      <c r="C150" s="7"/>
      <c r="D150" s="6"/>
      <c r="E150" s="6"/>
      <c r="F150" s="6"/>
      <c r="G150" s="8" t="str">
        <f aca="false">IF($A150="","",INDEX(Listes!$C$2:$C$13,MONTH($A150)))</f>
        <v/>
      </c>
      <c r="H150" s="9"/>
    </row>
    <row r="151" customFormat="false" ht="15" hidden="false" customHeight="true" outlineLevel="0" collapsed="false">
      <c r="A151" s="5"/>
      <c r="B151" s="6"/>
      <c r="C151" s="7"/>
      <c r="D151" s="6"/>
      <c r="E151" s="6"/>
      <c r="F151" s="6"/>
      <c r="G151" s="8" t="str">
        <f aca="false">IF($A151="","",INDEX(Listes!$C$2:$C$13,MONTH($A151)))</f>
        <v/>
      </c>
      <c r="H151" s="9"/>
    </row>
    <row r="152" customFormat="false" ht="15" hidden="false" customHeight="true" outlineLevel="0" collapsed="false">
      <c r="A152" s="5"/>
      <c r="B152" s="6"/>
      <c r="C152" s="7"/>
      <c r="D152" s="6"/>
      <c r="E152" s="6"/>
      <c r="F152" s="6"/>
      <c r="G152" s="8" t="str">
        <f aca="false">IF($A152="","",INDEX(Listes!$C$2:$C$13,MONTH($A152)))</f>
        <v/>
      </c>
      <c r="H152" s="9"/>
    </row>
    <row r="153" customFormat="false" ht="15" hidden="false" customHeight="true" outlineLevel="0" collapsed="false">
      <c r="A153" s="5"/>
      <c r="B153" s="6"/>
      <c r="C153" s="7"/>
      <c r="D153" s="6"/>
      <c r="E153" s="6"/>
      <c r="F153" s="6"/>
      <c r="G153" s="8" t="str">
        <f aca="false">IF($A153="","",INDEX(Listes!$C$2:$C$13,MONTH($A153)))</f>
        <v/>
      </c>
      <c r="H153" s="9"/>
    </row>
    <row r="154" customFormat="false" ht="15" hidden="false" customHeight="true" outlineLevel="0" collapsed="false">
      <c r="A154" s="5"/>
      <c r="B154" s="6"/>
      <c r="C154" s="7"/>
      <c r="D154" s="6"/>
      <c r="E154" s="6"/>
      <c r="F154" s="6"/>
      <c r="G154" s="8" t="str">
        <f aca="false">IF($A154="","",INDEX(Listes!$C$2:$C$13,MONTH($A154)))</f>
        <v/>
      </c>
      <c r="H154" s="9"/>
    </row>
    <row r="155" customFormat="false" ht="15" hidden="false" customHeight="true" outlineLevel="0" collapsed="false">
      <c r="A155" s="5"/>
      <c r="B155" s="6"/>
      <c r="C155" s="7"/>
      <c r="D155" s="6"/>
      <c r="E155" s="6"/>
      <c r="F155" s="6"/>
      <c r="G155" s="8" t="str">
        <f aca="false">IF($A155="","",INDEX(Listes!$C$2:$C$13,MONTH($A155)))</f>
        <v/>
      </c>
      <c r="H155" s="9"/>
    </row>
    <row r="156" customFormat="false" ht="15" hidden="false" customHeight="true" outlineLevel="0" collapsed="false">
      <c r="A156" s="5"/>
      <c r="B156" s="6"/>
      <c r="C156" s="7"/>
      <c r="D156" s="6"/>
      <c r="E156" s="6"/>
      <c r="F156" s="6"/>
      <c r="G156" s="8" t="str">
        <f aca="false">IF($A156="","",INDEX(Listes!$C$2:$C$13,MONTH($A156)))</f>
        <v/>
      </c>
      <c r="H156" s="9"/>
    </row>
    <row r="157" customFormat="false" ht="15" hidden="false" customHeight="true" outlineLevel="0" collapsed="false">
      <c r="A157" s="5"/>
      <c r="B157" s="6"/>
      <c r="C157" s="7"/>
      <c r="D157" s="6"/>
      <c r="E157" s="6"/>
      <c r="F157" s="6"/>
      <c r="G157" s="8" t="str">
        <f aca="false">IF($A157="","",INDEX(Listes!$C$2:$C$13,MONTH($A157)))</f>
        <v/>
      </c>
      <c r="H157" s="9"/>
    </row>
    <row r="158" customFormat="false" ht="15" hidden="false" customHeight="true" outlineLevel="0" collapsed="false">
      <c r="A158" s="5"/>
      <c r="B158" s="6"/>
      <c r="C158" s="7"/>
      <c r="D158" s="6"/>
      <c r="E158" s="6"/>
      <c r="F158" s="6"/>
      <c r="G158" s="8" t="str">
        <f aca="false">IF($A158="","",INDEX(Listes!$C$2:$C$13,MONTH($A158)))</f>
        <v/>
      </c>
      <c r="H158" s="9"/>
    </row>
    <row r="159" customFormat="false" ht="15" hidden="false" customHeight="true" outlineLevel="0" collapsed="false">
      <c r="A159" s="5"/>
      <c r="B159" s="6"/>
      <c r="C159" s="7"/>
      <c r="D159" s="6"/>
      <c r="E159" s="6"/>
      <c r="F159" s="6"/>
      <c r="G159" s="8" t="str">
        <f aca="false">IF($A159="","",INDEX(Listes!$C$2:$C$13,MONTH($A159)))</f>
        <v/>
      </c>
      <c r="H159" s="9"/>
    </row>
    <row r="160" customFormat="false" ht="15" hidden="false" customHeight="true" outlineLevel="0" collapsed="false">
      <c r="A160" s="5"/>
      <c r="B160" s="6"/>
      <c r="C160" s="7"/>
      <c r="D160" s="6"/>
      <c r="E160" s="6"/>
      <c r="F160" s="6"/>
      <c r="G160" s="8" t="str">
        <f aca="false">IF($A160="","",INDEX(Listes!$C$2:$C$13,MONTH($A160)))</f>
        <v/>
      </c>
      <c r="H160" s="9"/>
    </row>
    <row r="161" customFormat="false" ht="15" hidden="false" customHeight="true" outlineLevel="0" collapsed="false">
      <c r="A161" s="5"/>
      <c r="B161" s="6"/>
      <c r="C161" s="7"/>
      <c r="D161" s="6"/>
      <c r="E161" s="6"/>
      <c r="F161" s="6"/>
      <c r="G161" s="8" t="str">
        <f aca="false">IF($A161="","",INDEX(Listes!$C$2:$C$13,MONTH($A161)))</f>
        <v/>
      </c>
      <c r="H161" s="9"/>
    </row>
    <row r="162" customFormat="false" ht="15" hidden="false" customHeight="true" outlineLevel="0" collapsed="false">
      <c r="A162" s="5"/>
      <c r="B162" s="6"/>
      <c r="C162" s="7"/>
      <c r="D162" s="6"/>
      <c r="E162" s="6"/>
      <c r="F162" s="6"/>
      <c r="G162" s="8" t="str">
        <f aca="false">IF($A162="","",INDEX(Listes!$C$2:$C$13,MONTH($A162)))</f>
        <v/>
      </c>
      <c r="H162" s="9"/>
    </row>
    <row r="163" customFormat="false" ht="15" hidden="false" customHeight="true" outlineLevel="0" collapsed="false">
      <c r="A163" s="5"/>
      <c r="B163" s="6"/>
      <c r="C163" s="7"/>
      <c r="D163" s="6"/>
      <c r="E163" s="6"/>
      <c r="F163" s="6"/>
      <c r="G163" s="8" t="str">
        <f aca="false">IF($A163="","",INDEX(Listes!$C$2:$C$13,MONTH($A163)))</f>
        <v/>
      </c>
      <c r="H163" s="9"/>
    </row>
    <row r="164" customFormat="false" ht="15" hidden="false" customHeight="true" outlineLevel="0" collapsed="false">
      <c r="A164" s="5"/>
      <c r="B164" s="6"/>
      <c r="C164" s="7"/>
      <c r="D164" s="6"/>
      <c r="E164" s="6"/>
      <c r="F164" s="6"/>
      <c r="G164" s="8" t="str">
        <f aca="false">IF($A164="","",INDEX(Listes!$C$2:$C$13,MONTH($A164)))</f>
        <v/>
      </c>
      <c r="H164" s="9"/>
    </row>
    <row r="165" customFormat="false" ht="15" hidden="false" customHeight="true" outlineLevel="0" collapsed="false">
      <c r="A165" s="5"/>
      <c r="B165" s="6"/>
      <c r="C165" s="7"/>
      <c r="D165" s="6"/>
      <c r="E165" s="6"/>
      <c r="F165" s="6"/>
      <c r="G165" s="8" t="str">
        <f aca="false">IF($A165="","",INDEX(Listes!$C$2:$C$13,MONTH($A165)))</f>
        <v/>
      </c>
      <c r="H165" s="9"/>
    </row>
    <row r="166" customFormat="false" ht="15" hidden="false" customHeight="true" outlineLevel="0" collapsed="false">
      <c r="A166" s="5"/>
      <c r="B166" s="6"/>
      <c r="C166" s="7"/>
      <c r="D166" s="6"/>
      <c r="E166" s="6"/>
      <c r="F166" s="6"/>
      <c r="G166" s="8" t="str">
        <f aca="false">IF($A166="","",INDEX(Listes!$C$2:$C$13,MONTH($A166)))</f>
        <v/>
      </c>
      <c r="H166" s="9"/>
    </row>
    <row r="167" customFormat="false" ht="15" hidden="false" customHeight="true" outlineLevel="0" collapsed="false">
      <c r="A167" s="5"/>
      <c r="B167" s="6"/>
      <c r="C167" s="7"/>
      <c r="D167" s="6"/>
      <c r="E167" s="6"/>
      <c r="F167" s="6"/>
      <c r="G167" s="8" t="str">
        <f aca="false">IF($A167="","",INDEX(Listes!$C$2:$C$13,MONTH($A167)))</f>
        <v/>
      </c>
      <c r="H167" s="9"/>
    </row>
    <row r="168" customFormat="false" ht="15" hidden="false" customHeight="true" outlineLevel="0" collapsed="false">
      <c r="A168" s="5"/>
      <c r="B168" s="6"/>
      <c r="C168" s="7"/>
      <c r="D168" s="6"/>
      <c r="E168" s="6"/>
      <c r="F168" s="6"/>
      <c r="G168" s="8" t="str">
        <f aca="false">IF($A168="","",INDEX(Listes!$C$2:$C$13,MONTH($A168)))</f>
        <v/>
      </c>
      <c r="H168" s="9"/>
    </row>
    <row r="169" customFormat="false" ht="15" hidden="false" customHeight="true" outlineLevel="0" collapsed="false">
      <c r="A169" s="5"/>
      <c r="B169" s="6"/>
      <c r="C169" s="7"/>
      <c r="D169" s="6"/>
      <c r="E169" s="6"/>
      <c r="F169" s="6"/>
      <c r="G169" s="8" t="str">
        <f aca="false">IF($A169="","",INDEX(Listes!$C$2:$C$13,MONTH($A169)))</f>
        <v/>
      </c>
      <c r="H169" s="9"/>
    </row>
    <row r="170" customFormat="false" ht="15" hidden="false" customHeight="true" outlineLevel="0" collapsed="false">
      <c r="A170" s="5"/>
      <c r="B170" s="6"/>
      <c r="C170" s="7"/>
      <c r="D170" s="6"/>
      <c r="E170" s="6"/>
      <c r="F170" s="6"/>
      <c r="G170" s="8" t="str">
        <f aca="false">IF($A170="","",INDEX(Listes!$C$2:$C$13,MONTH($A170)))</f>
        <v/>
      </c>
      <c r="H170" s="9"/>
    </row>
    <row r="171" customFormat="false" ht="15" hidden="false" customHeight="true" outlineLevel="0" collapsed="false">
      <c r="A171" s="5"/>
      <c r="B171" s="6"/>
      <c r="C171" s="7"/>
      <c r="D171" s="6"/>
      <c r="E171" s="6"/>
      <c r="F171" s="6"/>
      <c r="G171" s="8" t="str">
        <f aca="false">IF($A171="","",INDEX(Listes!$C$2:$C$13,MONTH($A171)))</f>
        <v/>
      </c>
      <c r="H171" s="9"/>
    </row>
    <row r="172" customFormat="false" ht="15" hidden="false" customHeight="true" outlineLevel="0" collapsed="false">
      <c r="A172" s="5"/>
      <c r="B172" s="6"/>
      <c r="C172" s="7"/>
      <c r="D172" s="6"/>
      <c r="E172" s="6"/>
      <c r="F172" s="6"/>
      <c r="G172" s="8" t="str">
        <f aca="false">IF($A172="","",INDEX(Listes!$C$2:$C$13,MONTH($A172)))</f>
        <v/>
      </c>
      <c r="H172" s="9"/>
    </row>
    <row r="173" customFormat="false" ht="15" hidden="false" customHeight="true" outlineLevel="0" collapsed="false">
      <c r="A173" s="5"/>
      <c r="B173" s="6"/>
      <c r="C173" s="7"/>
      <c r="D173" s="6"/>
      <c r="E173" s="6"/>
      <c r="F173" s="6"/>
      <c r="G173" s="8" t="str">
        <f aca="false">IF($A173="","",INDEX(Listes!$C$2:$C$13,MONTH($A173)))</f>
        <v/>
      </c>
      <c r="H173" s="9"/>
    </row>
    <row r="174" customFormat="false" ht="15" hidden="false" customHeight="true" outlineLevel="0" collapsed="false">
      <c r="A174" s="5"/>
      <c r="B174" s="6"/>
      <c r="C174" s="7"/>
      <c r="D174" s="6"/>
      <c r="E174" s="6"/>
      <c r="F174" s="6"/>
      <c r="G174" s="8" t="str">
        <f aca="false">IF($A174="","",INDEX(Listes!$C$2:$C$13,MONTH($A174)))</f>
        <v/>
      </c>
      <c r="H174" s="9"/>
    </row>
    <row r="175" customFormat="false" ht="15" hidden="false" customHeight="true" outlineLevel="0" collapsed="false">
      <c r="A175" s="5"/>
      <c r="B175" s="6"/>
      <c r="C175" s="7"/>
      <c r="D175" s="6"/>
      <c r="E175" s="6"/>
      <c r="F175" s="6"/>
      <c r="G175" s="8" t="str">
        <f aca="false">IF($A175="","",INDEX(Listes!$C$2:$C$13,MONTH($A175)))</f>
        <v/>
      </c>
      <c r="H175" s="9"/>
    </row>
    <row r="176" customFormat="false" ht="15" hidden="false" customHeight="true" outlineLevel="0" collapsed="false">
      <c r="A176" s="5"/>
      <c r="B176" s="6"/>
      <c r="C176" s="7"/>
      <c r="D176" s="6"/>
      <c r="E176" s="6"/>
      <c r="F176" s="6"/>
      <c r="G176" s="8" t="str">
        <f aca="false">IF($A176="","",INDEX(Listes!$C$2:$C$13,MONTH($A176)))</f>
        <v/>
      </c>
      <c r="H176" s="9"/>
    </row>
    <row r="177" customFormat="false" ht="15" hidden="false" customHeight="true" outlineLevel="0" collapsed="false">
      <c r="A177" s="5"/>
      <c r="B177" s="6"/>
      <c r="C177" s="7"/>
      <c r="D177" s="6"/>
      <c r="E177" s="6"/>
      <c r="F177" s="6"/>
      <c r="G177" s="8" t="str">
        <f aca="false">IF($A177="","",INDEX(Listes!$C$2:$C$13,MONTH($A177)))</f>
        <v/>
      </c>
      <c r="H177" s="9"/>
    </row>
    <row r="178" customFormat="false" ht="15" hidden="false" customHeight="true" outlineLevel="0" collapsed="false">
      <c r="A178" s="5"/>
      <c r="B178" s="6"/>
      <c r="C178" s="7"/>
      <c r="D178" s="6"/>
      <c r="E178" s="6"/>
      <c r="F178" s="6"/>
      <c r="G178" s="8" t="str">
        <f aca="false">IF($A178="","",INDEX(Listes!$C$2:$C$13,MONTH($A178)))</f>
        <v/>
      </c>
      <c r="H178" s="9"/>
    </row>
    <row r="179" customFormat="false" ht="15" hidden="false" customHeight="true" outlineLevel="0" collapsed="false">
      <c r="A179" s="5"/>
      <c r="B179" s="6"/>
      <c r="C179" s="7"/>
      <c r="D179" s="6"/>
      <c r="E179" s="6"/>
      <c r="F179" s="6"/>
      <c r="G179" s="8" t="str">
        <f aca="false">IF($A179="","",INDEX(Listes!$C$2:$C$13,MONTH($A179)))</f>
        <v/>
      </c>
      <c r="H179" s="9"/>
    </row>
    <row r="180" customFormat="false" ht="15" hidden="false" customHeight="true" outlineLevel="0" collapsed="false">
      <c r="A180" s="5"/>
      <c r="B180" s="6"/>
      <c r="C180" s="7"/>
      <c r="D180" s="6"/>
      <c r="E180" s="6"/>
      <c r="F180" s="6"/>
      <c r="G180" s="8" t="str">
        <f aca="false">IF($A180="","",INDEX(Listes!$C$2:$C$13,MONTH($A180)))</f>
        <v/>
      </c>
      <c r="H180" s="9"/>
    </row>
    <row r="181" customFormat="false" ht="15" hidden="false" customHeight="true" outlineLevel="0" collapsed="false">
      <c r="A181" s="5"/>
      <c r="B181" s="6"/>
      <c r="C181" s="7"/>
      <c r="D181" s="6"/>
      <c r="E181" s="6"/>
      <c r="F181" s="6"/>
      <c r="G181" s="8" t="str">
        <f aca="false">IF($A181="","",INDEX(Listes!$C$2:$C$13,MONTH($A181)))</f>
        <v/>
      </c>
      <c r="H181" s="9"/>
    </row>
    <row r="182" customFormat="false" ht="15" hidden="false" customHeight="true" outlineLevel="0" collapsed="false">
      <c r="A182" s="5"/>
      <c r="B182" s="6"/>
      <c r="C182" s="7"/>
      <c r="D182" s="6"/>
      <c r="E182" s="6"/>
      <c r="F182" s="6"/>
      <c r="G182" s="8" t="str">
        <f aca="false">IF($A182="","",INDEX(Listes!$C$2:$C$13,MONTH($A182)))</f>
        <v/>
      </c>
      <c r="H182" s="9"/>
    </row>
    <row r="183" customFormat="false" ht="15" hidden="false" customHeight="true" outlineLevel="0" collapsed="false">
      <c r="A183" s="5"/>
      <c r="B183" s="6"/>
      <c r="C183" s="7"/>
      <c r="D183" s="6"/>
      <c r="E183" s="6"/>
      <c r="F183" s="6"/>
      <c r="G183" s="8" t="str">
        <f aca="false">IF($A183="","",INDEX(Listes!$C$2:$C$13,MONTH($A183)))</f>
        <v/>
      </c>
      <c r="H183" s="9"/>
    </row>
    <row r="184" customFormat="false" ht="15" hidden="false" customHeight="true" outlineLevel="0" collapsed="false">
      <c r="A184" s="5"/>
      <c r="B184" s="6"/>
      <c r="C184" s="7"/>
      <c r="D184" s="6"/>
      <c r="E184" s="6"/>
      <c r="F184" s="6"/>
      <c r="G184" s="8" t="str">
        <f aca="false">IF($A184="","",INDEX(Listes!$C$2:$C$13,MONTH($A184)))</f>
        <v/>
      </c>
      <c r="H184" s="9"/>
    </row>
    <row r="185" customFormat="false" ht="15" hidden="false" customHeight="true" outlineLevel="0" collapsed="false">
      <c r="A185" s="5"/>
      <c r="B185" s="6"/>
      <c r="C185" s="7"/>
      <c r="D185" s="6"/>
      <c r="E185" s="6"/>
      <c r="F185" s="6"/>
      <c r="G185" s="8" t="str">
        <f aca="false">IF($A185="","",INDEX(Listes!$C$2:$C$13,MONTH($A185)))</f>
        <v/>
      </c>
      <c r="H185" s="9"/>
    </row>
    <row r="186" customFormat="false" ht="15" hidden="false" customHeight="true" outlineLevel="0" collapsed="false">
      <c r="A186" s="5"/>
      <c r="B186" s="6"/>
      <c r="C186" s="7"/>
      <c r="D186" s="6"/>
      <c r="E186" s="6"/>
      <c r="F186" s="6"/>
      <c r="G186" s="8" t="str">
        <f aca="false">IF($A186="","",INDEX(Listes!$C$2:$C$13,MONTH($A186)))</f>
        <v/>
      </c>
      <c r="H186" s="9"/>
    </row>
    <row r="187" customFormat="false" ht="15" hidden="false" customHeight="true" outlineLevel="0" collapsed="false">
      <c r="A187" s="5"/>
      <c r="B187" s="6"/>
      <c r="C187" s="7"/>
      <c r="D187" s="6"/>
      <c r="E187" s="6"/>
      <c r="F187" s="6"/>
      <c r="G187" s="8" t="str">
        <f aca="false">IF($A187="","",INDEX(Listes!$C$2:$C$13,MONTH($A187)))</f>
        <v/>
      </c>
      <c r="H187" s="9"/>
    </row>
    <row r="188" customFormat="false" ht="15" hidden="false" customHeight="true" outlineLevel="0" collapsed="false">
      <c r="A188" s="5"/>
      <c r="B188" s="6"/>
      <c r="C188" s="7"/>
      <c r="D188" s="6"/>
      <c r="E188" s="6"/>
      <c r="F188" s="6"/>
      <c r="G188" s="8" t="str">
        <f aca="false">IF($A188="","",INDEX(Listes!$C$2:$C$13,MONTH($A188)))</f>
        <v/>
      </c>
      <c r="H188" s="9"/>
    </row>
    <row r="189" customFormat="false" ht="15" hidden="false" customHeight="true" outlineLevel="0" collapsed="false">
      <c r="A189" s="5"/>
      <c r="B189" s="6"/>
      <c r="C189" s="7"/>
      <c r="D189" s="6"/>
      <c r="E189" s="6"/>
      <c r="F189" s="6"/>
      <c r="G189" s="8" t="str">
        <f aca="false">IF($A189="","",INDEX(Listes!$C$2:$C$13,MONTH($A189)))</f>
        <v/>
      </c>
      <c r="H189" s="9"/>
    </row>
    <row r="190" customFormat="false" ht="15" hidden="false" customHeight="true" outlineLevel="0" collapsed="false">
      <c r="A190" s="5"/>
      <c r="B190" s="6"/>
      <c r="C190" s="7"/>
      <c r="D190" s="6"/>
      <c r="E190" s="6"/>
      <c r="F190" s="6"/>
      <c r="G190" s="8" t="str">
        <f aca="false">IF($A190="","",INDEX(Listes!$C$2:$C$13,MONTH($A190)))</f>
        <v/>
      </c>
      <c r="H190" s="9"/>
    </row>
    <row r="191" customFormat="false" ht="15" hidden="false" customHeight="true" outlineLevel="0" collapsed="false">
      <c r="A191" s="5"/>
      <c r="B191" s="6"/>
      <c r="C191" s="7"/>
      <c r="D191" s="6"/>
      <c r="E191" s="6"/>
      <c r="F191" s="6"/>
      <c r="G191" s="8" t="str">
        <f aca="false">IF($A191="","",INDEX(Listes!$C$2:$C$13,MONTH($A191)))</f>
        <v/>
      </c>
      <c r="H191" s="9"/>
    </row>
    <row r="192" customFormat="false" ht="15" hidden="false" customHeight="true" outlineLevel="0" collapsed="false">
      <c r="A192" s="5"/>
      <c r="B192" s="6"/>
      <c r="C192" s="7"/>
      <c r="D192" s="6"/>
      <c r="E192" s="6"/>
      <c r="F192" s="6"/>
      <c r="G192" s="8" t="str">
        <f aca="false">IF($A192="","",INDEX(Listes!$C$2:$C$13,MONTH($A192)))</f>
        <v/>
      </c>
      <c r="H192" s="9"/>
    </row>
    <row r="193" customFormat="false" ht="15" hidden="false" customHeight="true" outlineLevel="0" collapsed="false">
      <c r="A193" s="5"/>
      <c r="B193" s="6"/>
      <c r="C193" s="7"/>
      <c r="D193" s="6"/>
      <c r="E193" s="6"/>
      <c r="F193" s="6"/>
      <c r="G193" s="8" t="str">
        <f aca="false">IF($A193="","",INDEX(Listes!$C$2:$C$13,MONTH($A193)))</f>
        <v/>
      </c>
      <c r="H193" s="9"/>
    </row>
    <row r="194" customFormat="false" ht="15" hidden="false" customHeight="true" outlineLevel="0" collapsed="false">
      <c r="A194" s="5"/>
      <c r="B194" s="6"/>
      <c r="C194" s="7"/>
      <c r="D194" s="6"/>
      <c r="E194" s="6"/>
      <c r="F194" s="6"/>
      <c r="G194" s="8" t="str">
        <f aca="false">IF($A194="","",INDEX(Listes!$C$2:$C$13,MONTH($A194)))</f>
        <v/>
      </c>
      <c r="H194" s="9"/>
    </row>
    <row r="195" customFormat="false" ht="15" hidden="false" customHeight="true" outlineLevel="0" collapsed="false">
      <c r="A195" s="5"/>
      <c r="B195" s="6"/>
      <c r="C195" s="7"/>
      <c r="D195" s="6"/>
      <c r="E195" s="6"/>
      <c r="F195" s="6"/>
      <c r="G195" s="8" t="str">
        <f aca="false">IF($A195="","",INDEX(Listes!$C$2:$C$13,MONTH($A195)))</f>
        <v/>
      </c>
      <c r="H195" s="9"/>
    </row>
    <row r="196" customFormat="false" ht="15" hidden="false" customHeight="true" outlineLevel="0" collapsed="false">
      <c r="A196" s="5"/>
      <c r="B196" s="6"/>
      <c r="C196" s="7"/>
      <c r="D196" s="6"/>
      <c r="E196" s="6"/>
      <c r="F196" s="6"/>
      <c r="G196" s="8" t="str">
        <f aca="false">IF($A196="","",INDEX(Listes!$C$2:$C$13,MONTH($A196)))</f>
        <v/>
      </c>
      <c r="H196" s="9"/>
    </row>
    <row r="197" customFormat="false" ht="15" hidden="false" customHeight="true" outlineLevel="0" collapsed="false">
      <c r="A197" s="5"/>
      <c r="B197" s="6"/>
      <c r="C197" s="7"/>
      <c r="D197" s="6"/>
      <c r="E197" s="6"/>
      <c r="F197" s="6"/>
      <c r="G197" s="8" t="str">
        <f aca="false">IF($A197="","",INDEX(Listes!$C$2:$C$13,MONTH($A197)))</f>
        <v/>
      </c>
      <c r="H197" s="9"/>
    </row>
    <row r="198" customFormat="false" ht="15" hidden="false" customHeight="true" outlineLevel="0" collapsed="false">
      <c r="A198" s="5"/>
      <c r="B198" s="6"/>
      <c r="C198" s="7"/>
      <c r="D198" s="6"/>
      <c r="E198" s="6"/>
      <c r="F198" s="6"/>
      <c r="G198" s="8" t="str">
        <f aca="false">IF($A198="","",INDEX(Listes!$C$2:$C$13,MONTH($A198)))</f>
        <v/>
      </c>
      <c r="H198" s="9"/>
    </row>
    <row r="199" customFormat="false" ht="15" hidden="false" customHeight="true" outlineLevel="0" collapsed="false">
      <c r="A199" s="5"/>
      <c r="B199" s="6"/>
      <c r="C199" s="7"/>
      <c r="D199" s="6"/>
      <c r="E199" s="6"/>
      <c r="F199" s="6"/>
      <c r="G199" s="8" t="str">
        <f aca="false">IF($A199="","",INDEX(Listes!$C$2:$C$13,MONTH($A199)))</f>
        <v/>
      </c>
      <c r="H199" s="9"/>
    </row>
    <row r="200" customFormat="false" ht="15" hidden="false" customHeight="true" outlineLevel="0" collapsed="false">
      <c r="A200" s="5"/>
      <c r="B200" s="6"/>
      <c r="C200" s="7"/>
      <c r="D200" s="6"/>
      <c r="E200" s="6"/>
      <c r="F200" s="6"/>
      <c r="G200" s="8" t="str">
        <f aca="false">IF($A200="","",INDEX(Listes!$C$2:$C$13,MONTH($A200)))</f>
        <v/>
      </c>
      <c r="H200" s="9"/>
    </row>
    <row r="201" customFormat="false" ht="15" hidden="false" customHeight="true" outlineLevel="0" collapsed="false">
      <c r="A201" s="5"/>
      <c r="B201" s="6"/>
      <c r="C201" s="7"/>
      <c r="D201" s="6"/>
      <c r="E201" s="6"/>
      <c r="F201" s="6"/>
      <c r="G201" s="8" t="str">
        <f aca="false">IF($A201="","",INDEX(Listes!$C$2:$C$13,MONTH($A201)))</f>
        <v/>
      </c>
      <c r="H201" s="9"/>
    </row>
    <row r="202" customFormat="false" ht="15" hidden="false" customHeight="true" outlineLevel="0" collapsed="false">
      <c r="A202" s="5"/>
      <c r="B202" s="6"/>
      <c r="C202" s="7"/>
      <c r="D202" s="6"/>
      <c r="E202" s="6"/>
      <c r="F202" s="6"/>
      <c r="G202" s="8" t="str">
        <f aca="false">IF($A202="","",INDEX(Listes!$C$2:$C$13,MONTH($A202)))</f>
        <v/>
      </c>
      <c r="H202" s="9"/>
    </row>
    <row r="203" customFormat="false" ht="15" hidden="false" customHeight="true" outlineLevel="0" collapsed="false">
      <c r="A203" s="5"/>
      <c r="B203" s="6"/>
      <c r="C203" s="7"/>
      <c r="D203" s="6"/>
      <c r="E203" s="6"/>
      <c r="F203" s="6"/>
      <c r="G203" s="8" t="str">
        <f aca="false">IF($A203="","",INDEX(Listes!$C$2:$C$13,MONTH($A203)))</f>
        <v/>
      </c>
      <c r="H203" s="9"/>
    </row>
    <row r="204" customFormat="false" ht="15" hidden="false" customHeight="true" outlineLevel="0" collapsed="false">
      <c r="A204" s="5"/>
      <c r="B204" s="6"/>
      <c r="C204" s="7"/>
      <c r="D204" s="6"/>
      <c r="E204" s="6"/>
      <c r="F204" s="6"/>
      <c r="G204" s="8" t="str">
        <f aca="false">IF($A204="","",INDEX(Listes!$C$2:$C$13,MONTH($A204)))</f>
        <v/>
      </c>
      <c r="H204" s="9"/>
    </row>
    <row r="205" customFormat="false" ht="15" hidden="false" customHeight="true" outlineLevel="0" collapsed="false">
      <c r="A205" s="5"/>
      <c r="B205" s="6"/>
      <c r="C205" s="7"/>
      <c r="D205" s="6"/>
      <c r="E205" s="6"/>
      <c r="F205" s="6"/>
      <c r="G205" s="8" t="str">
        <f aca="false">IF($A205="","",INDEX(Listes!$C$2:$C$13,MONTH($A205)))</f>
        <v/>
      </c>
      <c r="H205" s="9"/>
    </row>
    <row r="206" customFormat="false" ht="15" hidden="false" customHeight="true" outlineLevel="0" collapsed="false">
      <c r="A206" s="5"/>
      <c r="B206" s="6"/>
      <c r="C206" s="7"/>
      <c r="D206" s="6"/>
      <c r="E206" s="6"/>
      <c r="F206" s="6"/>
      <c r="G206" s="8" t="str">
        <f aca="false">IF($A206="","",INDEX(Listes!$C$2:$C$13,MONTH($A206)))</f>
        <v/>
      </c>
      <c r="H206" s="9"/>
    </row>
    <row r="207" customFormat="false" ht="15" hidden="false" customHeight="true" outlineLevel="0" collapsed="false">
      <c r="A207" s="5"/>
      <c r="B207" s="6"/>
      <c r="C207" s="7"/>
      <c r="D207" s="6"/>
      <c r="E207" s="6"/>
      <c r="F207" s="6"/>
      <c r="G207" s="8" t="str">
        <f aca="false">IF($A207="","",INDEX(Listes!$C$2:$C$13,MONTH($A207)))</f>
        <v/>
      </c>
      <c r="H207" s="9"/>
    </row>
    <row r="208" customFormat="false" ht="15" hidden="false" customHeight="true" outlineLevel="0" collapsed="false">
      <c r="A208" s="5"/>
      <c r="B208" s="6"/>
      <c r="C208" s="7"/>
      <c r="D208" s="6"/>
      <c r="E208" s="6"/>
      <c r="F208" s="6"/>
      <c r="G208" s="8" t="str">
        <f aca="false">IF($A208="","",INDEX(Listes!$C$2:$C$13,MONTH($A208)))</f>
        <v/>
      </c>
      <c r="H208" s="9"/>
    </row>
    <row r="209" customFormat="false" ht="15" hidden="false" customHeight="true" outlineLevel="0" collapsed="false">
      <c r="A209" s="5"/>
      <c r="B209" s="6"/>
      <c r="C209" s="7"/>
      <c r="D209" s="6"/>
      <c r="E209" s="6"/>
      <c r="F209" s="6"/>
      <c r="G209" s="8" t="str">
        <f aca="false">IF($A209="","",INDEX(Listes!$C$2:$C$13,MONTH($A209)))</f>
        <v/>
      </c>
      <c r="H209" s="9"/>
    </row>
    <row r="210" customFormat="false" ht="15" hidden="false" customHeight="true" outlineLevel="0" collapsed="false">
      <c r="A210" s="5"/>
      <c r="B210" s="6"/>
      <c r="C210" s="7"/>
      <c r="D210" s="6"/>
      <c r="E210" s="6"/>
      <c r="F210" s="6"/>
      <c r="G210" s="8" t="str">
        <f aca="false">IF($A210="","",INDEX(Listes!$C$2:$C$13,MONTH($A210)))</f>
        <v/>
      </c>
      <c r="H210" s="9"/>
    </row>
    <row r="211" customFormat="false" ht="15" hidden="false" customHeight="true" outlineLevel="0" collapsed="false">
      <c r="A211" s="5"/>
      <c r="B211" s="6"/>
      <c r="C211" s="7"/>
      <c r="D211" s="6"/>
      <c r="E211" s="6"/>
      <c r="F211" s="6"/>
      <c r="G211" s="8" t="str">
        <f aca="false">IF($A211="","",INDEX(Listes!$C$2:$C$13,MONTH($A211)))</f>
        <v/>
      </c>
      <c r="H211" s="9"/>
    </row>
    <row r="212" customFormat="false" ht="15" hidden="false" customHeight="true" outlineLevel="0" collapsed="false">
      <c r="A212" s="5"/>
      <c r="B212" s="6"/>
      <c r="C212" s="7"/>
      <c r="D212" s="6"/>
      <c r="E212" s="6"/>
      <c r="F212" s="6"/>
      <c r="G212" s="8" t="str">
        <f aca="false">IF($A212="","",INDEX(Listes!$C$2:$C$13,MONTH($A212)))</f>
        <v/>
      </c>
      <c r="H212" s="9"/>
    </row>
    <row r="213" customFormat="false" ht="15" hidden="false" customHeight="true" outlineLevel="0" collapsed="false">
      <c r="A213" s="5"/>
      <c r="B213" s="6"/>
      <c r="C213" s="7"/>
      <c r="D213" s="6"/>
      <c r="E213" s="6"/>
      <c r="F213" s="6"/>
      <c r="G213" s="8" t="str">
        <f aca="false">IF($A213="","",INDEX(Listes!$C$2:$C$13,MONTH($A213)))</f>
        <v/>
      </c>
      <c r="H213" s="9"/>
    </row>
    <row r="214" customFormat="false" ht="15" hidden="false" customHeight="true" outlineLevel="0" collapsed="false">
      <c r="A214" s="5"/>
      <c r="B214" s="6"/>
      <c r="C214" s="7"/>
      <c r="D214" s="6"/>
      <c r="E214" s="6"/>
      <c r="F214" s="6"/>
      <c r="G214" s="8" t="str">
        <f aca="false">IF($A214="","",INDEX(Listes!$C$2:$C$13,MONTH($A214)))</f>
        <v/>
      </c>
      <c r="H214" s="9"/>
    </row>
    <row r="215" customFormat="false" ht="15" hidden="false" customHeight="true" outlineLevel="0" collapsed="false">
      <c r="A215" s="5"/>
      <c r="B215" s="6"/>
      <c r="C215" s="7"/>
      <c r="D215" s="6"/>
      <c r="E215" s="6"/>
      <c r="F215" s="6"/>
      <c r="G215" s="8" t="str">
        <f aca="false">IF($A215="","",INDEX(Listes!$C$2:$C$13,MONTH($A215)))</f>
        <v/>
      </c>
      <c r="H215" s="9"/>
    </row>
    <row r="216" customFormat="false" ht="15" hidden="false" customHeight="true" outlineLevel="0" collapsed="false">
      <c r="A216" s="5"/>
      <c r="B216" s="6"/>
      <c r="C216" s="7"/>
      <c r="D216" s="6"/>
      <c r="E216" s="6"/>
      <c r="F216" s="6"/>
      <c r="G216" s="8" t="str">
        <f aca="false">IF($A216="","",INDEX(Listes!$C$2:$C$13,MONTH($A216)))</f>
        <v/>
      </c>
      <c r="H216" s="9"/>
    </row>
    <row r="217" customFormat="false" ht="15" hidden="false" customHeight="true" outlineLevel="0" collapsed="false">
      <c r="A217" s="5"/>
      <c r="B217" s="6"/>
      <c r="C217" s="7"/>
      <c r="D217" s="6"/>
      <c r="E217" s="6"/>
      <c r="F217" s="6"/>
      <c r="G217" s="8" t="str">
        <f aca="false">IF($A217="","",INDEX(Listes!$C$2:$C$13,MONTH($A217)))</f>
        <v/>
      </c>
      <c r="H217" s="9"/>
    </row>
    <row r="218" customFormat="false" ht="15" hidden="false" customHeight="true" outlineLevel="0" collapsed="false">
      <c r="A218" s="5"/>
      <c r="B218" s="6"/>
      <c r="C218" s="7"/>
      <c r="D218" s="6"/>
      <c r="E218" s="6"/>
      <c r="F218" s="6"/>
      <c r="G218" s="8" t="str">
        <f aca="false">IF($A218="","",INDEX(Listes!$C$2:$C$13,MONTH($A218)))</f>
        <v/>
      </c>
      <c r="H218" s="9"/>
    </row>
    <row r="219" customFormat="false" ht="15" hidden="false" customHeight="true" outlineLevel="0" collapsed="false">
      <c r="A219" s="5"/>
      <c r="B219" s="6"/>
      <c r="C219" s="7"/>
      <c r="D219" s="6"/>
      <c r="E219" s="6"/>
      <c r="F219" s="6"/>
      <c r="G219" s="8" t="str">
        <f aca="false">IF($A219="","",INDEX(Listes!$C$2:$C$13,MONTH($A219)))</f>
        <v/>
      </c>
      <c r="H219" s="9"/>
    </row>
    <row r="220" customFormat="false" ht="15" hidden="false" customHeight="true" outlineLevel="0" collapsed="false">
      <c r="A220" s="5"/>
      <c r="B220" s="6"/>
      <c r="C220" s="7"/>
      <c r="D220" s="6"/>
      <c r="E220" s="6"/>
      <c r="F220" s="6"/>
      <c r="G220" s="8" t="str">
        <f aca="false">IF($A220="","",INDEX(Listes!$C$2:$C$13,MONTH($A220)))</f>
        <v/>
      </c>
      <c r="H220" s="9"/>
    </row>
    <row r="221" customFormat="false" ht="15" hidden="false" customHeight="true" outlineLevel="0" collapsed="false">
      <c r="A221" s="5"/>
      <c r="B221" s="6"/>
      <c r="C221" s="7"/>
      <c r="D221" s="6"/>
      <c r="E221" s="6"/>
      <c r="F221" s="6"/>
      <c r="G221" s="8" t="str">
        <f aca="false">IF($A221="","",INDEX(Listes!$C$2:$C$13,MONTH($A221)))</f>
        <v/>
      </c>
      <c r="H221" s="9"/>
    </row>
    <row r="222" customFormat="false" ht="15" hidden="false" customHeight="true" outlineLevel="0" collapsed="false">
      <c r="A222" s="5"/>
      <c r="B222" s="6"/>
      <c r="C222" s="7"/>
      <c r="D222" s="6"/>
      <c r="E222" s="6"/>
      <c r="F222" s="6"/>
      <c r="G222" s="8" t="str">
        <f aca="false">IF($A222="","",INDEX(Listes!$C$2:$C$13,MONTH($A222)))</f>
        <v/>
      </c>
      <c r="H222" s="9"/>
    </row>
    <row r="223" customFormat="false" ht="15" hidden="false" customHeight="true" outlineLevel="0" collapsed="false">
      <c r="A223" s="5"/>
      <c r="B223" s="6"/>
      <c r="C223" s="7"/>
      <c r="D223" s="6"/>
      <c r="E223" s="6"/>
      <c r="F223" s="6"/>
      <c r="G223" s="8" t="str">
        <f aca="false">IF($A223="","",INDEX(Listes!$C$2:$C$13,MONTH($A223)))</f>
        <v/>
      </c>
      <c r="H223" s="9"/>
    </row>
    <row r="224" customFormat="false" ht="15" hidden="false" customHeight="true" outlineLevel="0" collapsed="false">
      <c r="A224" s="5"/>
      <c r="B224" s="6"/>
      <c r="C224" s="7"/>
      <c r="D224" s="6"/>
      <c r="E224" s="6"/>
      <c r="F224" s="6"/>
      <c r="G224" s="8" t="str">
        <f aca="false">IF($A224="","",INDEX(Listes!$C$2:$C$13,MONTH($A224)))</f>
        <v/>
      </c>
      <c r="H224" s="9"/>
    </row>
    <row r="225" customFormat="false" ht="15" hidden="false" customHeight="true" outlineLevel="0" collapsed="false">
      <c r="A225" s="5"/>
      <c r="B225" s="6"/>
      <c r="C225" s="7"/>
      <c r="D225" s="6"/>
      <c r="E225" s="6"/>
      <c r="F225" s="6"/>
      <c r="G225" s="8" t="str">
        <f aca="false">IF($A225="","",INDEX(Listes!$C$2:$C$13,MONTH($A225)))</f>
        <v/>
      </c>
      <c r="H225" s="9"/>
    </row>
    <row r="226" customFormat="false" ht="15" hidden="false" customHeight="true" outlineLevel="0" collapsed="false">
      <c r="A226" s="5"/>
      <c r="B226" s="6"/>
      <c r="C226" s="7"/>
      <c r="D226" s="6"/>
      <c r="E226" s="6"/>
      <c r="F226" s="6"/>
      <c r="G226" s="8" t="str">
        <f aca="false">IF($A226="","",INDEX(Listes!$C$2:$C$13,MONTH($A226)))</f>
        <v/>
      </c>
      <c r="H226" s="9"/>
    </row>
    <row r="227" customFormat="false" ht="15" hidden="false" customHeight="true" outlineLevel="0" collapsed="false">
      <c r="A227" s="5"/>
      <c r="B227" s="6"/>
      <c r="C227" s="7"/>
      <c r="D227" s="6"/>
      <c r="E227" s="6"/>
      <c r="F227" s="6"/>
      <c r="G227" s="8" t="str">
        <f aca="false">IF($A227="","",INDEX(Listes!$C$2:$C$13,MONTH($A227)))</f>
        <v/>
      </c>
      <c r="H227" s="9"/>
    </row>
    <row r="228" customFormat="false" ht="15" hidden="false" customHeight="true" outlineLevel="0" collapsed="false">
      <c r="A228" s="5"/>
      <c r="B228" s="6"/>
      <c r="C228" s="7"/>
      <c r="D228" s="6"/>
      <c r="E228" s="6"/>
      <c r="F228" s="6"/>
      <c r="G228" s="8" t="str">
        <f aca="false">IF($A228="","",INDEX(Listes!$C$2:$C$13,MONTH($A228)))</f>
        <v/>
      </c>
      <c r="H228" s="9"/>
    </row>
    <row r="229" customFormat="false" ht="15" hidden="false" customHeight="true" outlineLevel="0" collapsed="false">
      <c r="A229" s="5"/>
      <c r="B229" s="6"/>
      <c r="C229" s="7"/>
      <c r="D229" s="6"/>
      <c r="E229" s="6"/>
      <c r="F229" s="6"/>
      <c r="G229" s="8" t="str">
        <f aca="false">IF($A229="","",INDEX(Listes!$C$2:$C$13,MONTH($A229)))</f>
        <v/>
      </c>
      <c r="H229" s="9"/>
    </row>
    <row r="230" customFormat="false" ht="15" hidden="false" customHeight="true" outlineLevel="0" collapsed="false">
      <c r="A230" s="5"/>
      <c r="B230" s="6"/>
      <c r="C230" s="7"/>
      <c r="D230" s="6"/>
      <c r="E230" s="6"/>
      <c r="F230" s="6"/>
      <c r="G230" s="8" t="str">
        <f aca="false">IF($A230="","",INDEX(Listes!$C$2:$C$13,MONTH($A230)))</f>
        <v/>
      </c>
      <c r="H230" s="9"/>
    </row>
    <row r="231" customFormat="false" ht="15" hidden="false" customHeight="true" outlineLevel="0" collapsed="false">
      <c r="A231" s="5"/>
      <c r="B231" s="6"/>
      <c r="C231" s="7"/>
      <c r="D231" s="6"/>
      <c r="E231" s="6"/>
      <c r="F231" s="6"/>
      <c r="G231" s="8" t="str">
        <f aca="false">IF($A231="","",INDEX(Listes!$C$2:$C$13,MONTH($A231)))</f>
        <v/>
      </c>
      <c r="H231" s="9"/>
    </row>
    <row r="232" customFormat="false" ht="15" hidden="false" customHeight="true" outlineLevel="0" collapsed="false">
      <c r="A232" s="5"/>
      <c r="B232" s="6"/>
      <c r="C232" s="7"/>
      <c r="D232" s="6"/>
      <c r="E232" s="6"/>
      <c r="F232" s="6"/>
      <c r="G232" s="8" t="str">
        <f aca="false">IF($A232="","",INDEX(Listes!$C$2:$C$13,MONTH($A232)))</f>
        <v/>
      </c>
      <c r="H232" s="9"/>
    </row>
    <row r="233" customFormat="false" ht="15" hidden="false" customHeight="true" outlineLevel="0" collapsed="false">
      <c r="A233" s="5"/>
      <c r="B233" s="6"/>
      <c r="C233" s="7"/>
      <c r="D233" s="6"/>
      <c r="E233" s="6"/>
      <c r="F233" s="6"/>
      <c r="G233" s="8" t="str">
        <f aca="false">IF($A233="","",INDEX(Listes!$C$2:$C$13,MONTH($A233)))</f>
        <v/>
      </c>
      <c r="H233" s="9"/>
    </row>
    <row r="234" customFormat="false" ht="15" hidden="false" customHeight="true" outlineLevel="0" collapsed="false">
      <c r="A234" s="5"/>
      <c r="B234" s="6"/>
      <c r="C234" s="7"/>
      <c r="D234" s="6"/>
      <c r="E234" s="6"/>
      <c r="F234" s="6"/>
      <c r="G234" s="8" t="str">
        <f aca="false">IF($A234="","",INDEX(Listes!$C$2:$C$13,MONTH($A234)))</f>
        <v/>
      </c>
      <c r="H234" s="9"/>
    </row>
    <row r="235" customFormat="false" ht="15" hidden="false" customHeight="true" outlineLevel="0" collapsed="false">
      <c r="A235" s="5"/>
      <c r="B235" s="6"/>
      <c r="C235" s="7"/>
      <c r="D235" s="6"/>
      <c r="E235" s="6"/>
      <c r="F235" s="6"/>
      <c r="G235" s="8" t="str">
        <f aca="false">IF($A235="","",INDEX(Listes!$C$2:$C$13,MONTH($A235)))</f>
        <v/>
      </c>
      <c r="H235" s="9"/>
    </row>
    <row r="236" customFormat="false" ht="15" hidden="false" customHeight="true" outlineLevel="0" collapsed="false">
      <c r="A236" s="5"/>
      <c r="B236" s="6"/>
      <c r="C236" s="7"/>
      <c r="D236" s="6"/>
      <c r="E236" s="6"/>
      <c r="F236" s="6"/>
      <c r="G236" s="8" t="str">
        <f aca="false">IF($A236="","",INDEX(Listes!$C$2:$C$13,MONTH($A236)))</f>
        <v/>
      </c>
      <c r="H236" s="9"/>
    </row>
    <row r="237" customFormat="false" ht="15" hidden="false" customHeight="true" outlineLevel="0" collapsed="false">
      <c r="A237" s="5"/>
      <c r="B237" s="6"/>
      <c r="C237" s="7"/>
      <c r="D237" s="6"/>
      <c r="E237" s="6"/>
      <c r="F237" s="6"/>
      <c r="G237" s="8" t="str">
        <f aca="false">IF($A237="","",INDEX(Listes!$C$2:$C$13,MONTH($A237)))</f>
        <v/>
      </c>
      <c r="H237" s="9"/>
    </row>
    <row r="238" customFormat="false" ht="15" hidden="false" customHeight="true" outlineLevel="0" collapsed="false">
      <c r="A238" s="5"/>
      <c r="B238" s="6"/>
      <c r="C238" s="7"/>
      <c r="D238" s="6"/>
      <c r="E238" s="6"/>
      <c r="F238" s="6"/>
      <c r="G238" s="8" t="str">
        <f aca="false">IF($A238="","",INDEX(Listes!$C$2:$C$13,MONTH($A238)))</f>
        <v/>
      </c>
      <c r="H238" s="9"/>
    </row>
    <row r="239" customFormat="false" ht="15" hidden="false" customHeight="true" outlineLevel="0" collapsed="false">
      <c r="A239" s="5"/>
      <c r="B239" s="6"/>
      <c r="C239" s="7"/>
      <c r="D239" s="6"/>
      <c r="E239" s="6"/>
      <c r="F239" s="6"/>
      <c r="G239" s="8" t="str">
        <f aca="false">IF($A239="","",INDEX(Listes!$C$2:$C$13,MONTH($A239)))</f>
        <v/>
      </c>
      <c r="H239" s="9"/>
    </row>
    <row r="240" customFormat="false" ht="15" hidden="false" customHeight="true" outlineLevel="0" collapsed="false">
      <c r="A240" s="5"/>
      <c r="B240" s="6"/>
      <c r="C240" s="7"/>
      <c r="D240" s="6"/>
      <c r="E240" s="6"/>
      <c r="F240" s="6"/>
      <c r="G240" s="8" t="str">
        <f aca="false">IF($A240="","",INDEX(Listes!$C$2:$C$13,MONTH($A240)))</f>
        <v/>
      </c>
      <c r="H240" s="9"/>
    </row>
    <row r="241" customFormat="false" ht="15" hidden="false" customHeight="true" outlineLevel="0" collapsed="false">
      <c r="A241" s="5"/>
      <c r="B241" s="6"/>
      <c r="C241" s="7"/>
      <c r="D241" s="6"/>
      <c r="E241" s="6"/>
      <c r="F241" s="6"/>
      <c r="G241" s="8" t="str">
        <f aca="false">IF($A241="","",INDEX(Listes!$C$2:$C$13,MONTH($A241)))</f>
        <v/>
      </c>
      <c r="H241" s="9"/>
    </row>
    <row r="242" customFormat="false" ht="15" hidden="false" customHeight="true" outlineLevel="0" collapsed="false">
      <c r="A242" s="5"/>
      <c r="B242" s="6"/>
      <c r="C242" s="7"/>
      <c r="D242" s="6"/>
      <c r="E242" s="6"/>
      <c r="F242" s="6"/>
      <c r="G242" s="8" t="str">
        <f aca="false">IF($A242="","",INDEX(Listes!$C$2:$C$13,MONTH($A242)))</f>
        <v/>
      </c>
      <c r="H242" s="9"/>
    </row>
    <row r="243" customFormat="false" ht="15" hidden="false" customHeight="true" outlineLevel="0" collapsed="false">
      <c r="A243" s="5"/>
      <c r="B243" s="6"/>
      <c r="C243" s="7"/>
      <c r="D243" s="6"/>
      <c r="E243" s="6"/>
      <c r="F243" s="6"/>
      <c r="G243" s="8" t="str">
        <f aca="false">IF($A243="","",INDEX(Listes!$C$2:$C$13,MONTH($A243)))</f>
        <v/>
      </c>
      <c r="H243" s="9"/>
    </row>
    <row r="244" customFormat="false" ht="15" hidden="false" customHeight="true" outlineLevel="0" collapsed="false">
      <c r="A244" s="5"/>
      <c r="B244" s="6"/>
      <c r="C244" s="7"/>
      <c r="D244" s="6"/>
      <c r="E244" s="6"/>
      <c r="F244" s="6"/>
      <c r="G244" s="8" t="str">
        <f aca="false">IF($A244="","",INDEX(Listes!$C$2:$C$13,MONTH($A244)))</f>
        <v/>
      </c>
      <c r="H244" s="9"/>
    </row>
    <row r="245" customFormat="false" ht="15" hidden="false" customHeight="true" outlineLevel="0" collapsed="false">
      <c r="A245" s="5"/>
      <c r="B245" s="6"/>
      <c r="C245" s="7"/>
      <c r="D245" s="6"/>
      <c r="E245" s="6"/>
      <c r="F245" s="6"/>
      <c r="G245" s="8" t="str">
        <f aca="false">IF($A245="","",INDEX(Listes!$C$2:$C$13,MONTH($A245)))</f>
        <v/>
      </c>
      <c r="H245" s="9"/>
    </row>
    <row r="246" customFormat="false" ht="15" hidden="false" customHeight="true" outlineLevel="0" collapsed="false">
      <c r="A246" s="5"/>
      <c r="B246" s="6"/>
      <c r="C246" s="7"/>
      <c r="D246" s="6"/>
      <c r="E246" s="6"/>
      <c r="F246" s="6"/>
      <c r="G246" s="8" t="str">
        <f aca="false">IF($A246="","",INDEX(Listes!$C$2:$C$13,MONTH($A246)))</f>
        <v/>
      </c>
      <c r="H246" s="9"/>
    </row>
    <row r="247" customFormat="false" ht="15" hidden="false" customHeight="true" outlineLevel="0" collapsed="false">
      <c r="A247" s="5"/>
      <c r="B247" s="6"/>
      <c r="C247" s="7"/>
      <c r="D247" s="6"/>
      <c r="E247" s="6"/>
      <c r="F247" s="6"/>
      <c r="G247" s="8" t="str">
        <f aca="false">IF($A247="","",INDEX(Listes!$C$2:$C$13,MONTH($A247)))</f>
        <v/>
      </c>
      <c r="H247" s="9"/>
    </row>
    <row r="248" customFormat="false" ht="15" hidden="false" customHeight="true" outlineLevel="0" collapsed="false">
      <c r="A248" s="5"/>
      <c r="B248" s="6"/>
      <c r="C248" s="7"/>
      <c r="D248" s="6"/>
      <c r="E248" s="6"/>
      <c r="F248" s="6"/>
      <c r="G248" s="8" t="str">
        <f aca="false">IF($A248="","",INDEX(Listes!$C$2:$C$13,MONTH($A248)))</f>
        <v/>
      </c>
      <c r="H248" s="9"/>
    </row>
    <row r="249" customFormat="false" ht="15" hidden="false" customHeight="true" outlineLevel="0" collapsed="false">
      <c r="A249" s="5"/>
      <c r="B249" s="6"/>
      <c r="C249" s="7"/>
      <c r="D249" s="6"/>
      <c r="E249" s="6"/>
      <c r="F249" s="6"/>
      <c r="G249" s="8" t="str">
        <f aca="false">IF($A249="","",INDEX(Listes!$C$2:$C$13,MONTH($A249)))</f>
        <v/>
      </c>
      <c r="H249" s="9"/>
    </row>
    <row r="250" customFormat="false" ht="15" hidden="false" customHeight="true" outlineLevel="0" collapsed="false">
      <c r="A250" s="5"/>
      <c r="B250" s="6"/>
      <c r="C250" s="7"/>
      <c r="D250" s="6"/>
      <c r="E250" s="6"/>
      <c r="F250" s="6"/>
      <c r="G250" s="8" t="str">
        <f aca="false">IF($A250="","",INDEX(Listes!$C$2:$C$13,MONTH($A250)))</f>
        <v/>
      </c>
      <c r="H250" s="9"/>
    </row>
    <row r="251" customFormat="false" ht="15" hidden="false" customHeight="true" outlineLevel="0" collapsed="false">
      <c r="A251" s="5"/>
      <c r="B251" s="6"/>
      <c r="C251" s="7"/>
      <c r="D251" s="6"/>
      <c r="E251" s="6"/>
      <c r="F251" s="6"/>
      <c r="G251" s="8" t="str">
        <f aca="false">IF($A251="","",INDEX(Listes!$C$2:$C$13,MONTH($A251)))</f>
        <v/>
      </c>
      <c r="H251" s="9"/>
    </row>
    <row r="252" customFormat="false" ht="15" hidden="false" customHeight="true" outlineLevel="0" collapsed="false">
      <c r="A252" s="5"/>
      <c r="B252" s="6"/>
      <c r="C252" s="7"/>
      <c r="D252" s="6"/>
      <c r="E252" s="6"/>
      <c r="F252" s="6"/>
      <c r="G252" s="8" t="str">
        <f aca="false">IF($A252="","",INDEX(Listes!$C$2:$C$13,MONTH($A252)))</f>
        <v/>
      </c>
      <c r="H252" s="9"/>
    </row>
    <row r="253" customFormat="false" ht="15" hidden="false" customHeight="true" outlineLevel="0" collapsed="false">
      <c r="A253" s="5"/>
      <c r="B253" s="6"/>
      <c r="C253" s="7"/>
      <c r="D253" s="6"/>
      <c r="E253" s="6"/>
      <c r="F253" s="6"/>
      <c r="G253" s="8" t="str">
        <f aca="false">IF($A253="","",INDEX(Listes!$C$2:$C$13,MONTH($A253)))</f>
        <v/>
      </c>
      <c r="H253" s="9"/>
    </row>
    <row r="254" customFormat="false" ht="15" hidden="false" customHeight="true" outlineLevel="0" collapsed="false">
      <c r="A254" s="5"/>
      <c r="B254" s="6"/>
      <c r="C254" s="7"/>
      <c r="D254" s="6"/>
      <c r="E254" s="6"/>
      <c r="F254" s="6"/>
      <c r="G254" s="8" t="str">
        <f aca="false">IF($A254="","",INDEX(Listes!$C$2:$C$13,MONTH($A254)))</f>
        <v/>
      </c>
      <c r="H254" s="9"/>
    </row>
    <row r="255" customFormat="false" ht="15" hidden="false" customHeight="true" outlineLevel="0" collapsed="false">
      <c r="A255" s="5"/>
      <c r="B255" s="6"/>
      <c r="C255" s="7"/>
      <c r="D255" s="6"/>
      <c r="E255" s="6"/>
      <c r="F255" s="6"/>
      <c r="G255" s="8" t="str">
        <f aca="false">IF($A255="","",INDEX(Listes!$C$2:$C$13,MONTH($A255)))</f>
        <v/>
      </c>
      <c r="H255" s="9"/>
    </row>
  </sheetData>
  <autoFilter ref="A5:H255"/>
  <mergeCells count="3">
    <mergeCell ref="D1:H1"/>
    <mergeCell ref="D2:H2"/>
    <mergeCell ref="D3:H3"/>
  </mergeCells>
  <dataValidations count="3">
    <dataValidation allowBlank="true" error="Choisissez un moniteur dans la liste. Pour en ajouter un, complétez l’onglet « Listes »." errorStyle="stop" errorTitle="Moniteur inconnu" operator="between" showDropDown="false" showErrorMessage="false" showInputMessage="false" sqref="D6:E255" type="list">
      <formula1>Listes!$A$2:$A$51</formula1>
      <formula2>0</formula2>
    </dataValidation>
    <dataValidation allowBlank="true" error="Choisissez un motif dans la liste." errorStyle="stop" errorTitle="Motif inconnu" operator="between" showDropDown="false" showErrorMessage="false" showInputMessage="false" sqref="F6:F255" type="list">
      <formula1>Listes!$B$2:$B$6</formula1>
      <formula2>0</formula2>
    </dataValidation>
    <dataValidation allowBlank="true" error="Oui ou Non." errorStyle="stop" errorTitle="Valeur incorrecte" operator="between" showDropDown="false" showErrorMessage="false" showInputMessage="false" sqref="H6:H255" type="list">
      <formula1>Listes!$D$2:$D$3</formula1>
      <formula2>0</formula2>
    </dataValidation>
  </dataValidation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24" hidden="false" customHeight="true" outlineLevel="0" collapsed="false">
      <c r="A1" s="10" t="s">
        <v>11</v>
      </c>
      <c r="B1" s="10"/>
    </row>
    <row r="3" customFormat="false" ht="21.75" hidden="false" customHeight="true" outlineLevel="0" collapsed="false">
      <c r="B3" s="11" t="s">
        <v>12</v>
      </c>
    </row>
    <row r="4" customFormat="false" ht="19.5" hidden="false" customHeight="true" outlineLevel="0" collapsed="false">
      <c r="B4" s="12" t="s">
        <v>13</v>
      </c>
    </row>
    <row r="5" customFormat="false" ht="19.5" hidden="false" customHeight="true" outlineLevel="0" collapsed="false">
      <c r="B5" s="12" t="s">
        <v>14</v>
      </c>
    </row>
    <row r="6" customFormat="false" ht="21.75" hidden="false" customHeight="true" outlineLevel="0" collapsed="false">
      <c r="B6" s="11" t="s">
        <v>15</v>
      </c>
    </row>
    <row r="7" customFormat="false" ht="19.5" hidden="false" customHeight="true" outlineLevel="0" collapsed="false">
      <c r="B7" s="12" t="s">
        <v>16</v>
      </c>
    </row>
    <row r="8" customFormat="false" ht="19.5" hidden="false" customHeight="true" outlineLevel="0" collapsed="false">
      <c r="B8" s="12" t="s">
        <v>17</v>
      </c>
    </row>
    <row r="9" customFormat="false" ht="21.75" hidden="false" customHeight="true" outlineLevel="0" collapsed="false">
      <c r="B9" s="11" t="s">
        <v>18</v>
      </c>
    </row>
    <row r="10" customFormat="false" ht="24" hidden="false" customHeight="true" outlineLevel="0" collapsed="false">
      <c r="B10" s="13" t="s">
        <v>19</v>
      </c>
    </row>
    <row r="11" customFormat="false" ht="21.75" hidden="false" customHeight="true" outlineLevel="0" collapsed="false">
      <c r="B11" s="11" t="s">
        <v>20</v>
      </c>
    </row>
    <row r="12" customFormat="false" ht="19.5" hidden="false" customHeight="true" outlineLevel="0" collapsed="false">
      <c r="B12" s="12" t="s">
        <v>21</v>
      </c>
    </row>
    <row r="13" customFormat="false" ht="19.5" hidden="false" customHeight="true" outlineLevel="0" collapsed="false">
      <c r="B13" s="12" t="s">
        <v>22</v>
      </c>
    </row>
    <row r="14" customFormat="false" ht="21.75" hidden="false" customHeight="true" outlineLevel="0" collapsed="false">
      <c r="B14" s="11" t="s">
        <v>23</v>
      </c>
    </row>
    <row r="15" customFormat="false" ht="24" hidden="false" customHeight="true" outlineLevel="0" collapsed="false">
      <c r="B15" s="14" t="s">
        <v>24</v>
      </c>
    </row>
    <row r="16" customFormat="false" ht="21.75" hidden="false" customHeight="true" outlineLevel="0" collapsed="false">
      <c r="B16" s="11" t="s">
        <v>25</v>
      </c>
    </row>
    <row r="17" customFormat="false" ht="19.5" hidden="false" customHeight="true" outlineLevel="0" collapsed="false">
      <c r="B17" s="12" t="s">
        <v>26</v>
      </c>
    </row>
    <row r="18" customFormat="false" ht="19.5" hidden="false" customHeight="true" outlineLevel="0" collapsed="false">
      <c r="B18" s="12" t="s">
        <v>27</v>
      </c>
    </row>
  </sheetData>
  <mergeCells count="1">
    <mergeCell ref="A1:B1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24" hidden="false" customHeight="true" outlineLevel="0" collapsed="false">
      <c r="A1" s="10" t="s">
        <v>28</v>
      </c>
      <c r="B1" s="10"/>
      <c r="C1" s="10"/>
      <c r="D1" s="10"/>
      <c r="E1" s="10"/>
    </row>
    <row r="3" customFormat="false" ht="21.75" hidden="false" customHeight="true" outlineLevel="0" collapsed="false">
      <c r="A3" s="15" t="s">
        <v>29</v>
      </c>
      <c r="B3" s="16" t="s">
        <v>30</v>
      </c>
      <c r="C3" s="17" t="s">
        <v>31</v>
      </c>
      <c r="D3" s="17"/>
      <c r="E3" s="17"/>
    </row>
    <row r="5" customFormat="false" ht="33.75" hidden="false" customHeight="true" outlineLevel="0" collapsed="false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</row>
    <row r="6" customFormat="false" ht="15" hidden="false" customHeight="true" outlineLevel="0" collapsed="false">
      <c r="A6" s="18" t="str">
        <f aca="false">IF(Listes!A2="","",Listes!A2)</f>
        <v>Yassine</v>
      </c>
      <c r="B6" s="19" t="n">
        <f aca="false">IF($A6="","",SUMIFS(Remplacements!$C$6:$C$255,Remplacements!$E$6:$E$255,$A6,Remplacements!$G$6:$G$255,$B$3))</f>
        <v>0</v>
      </c>
      <c r="C6" s="19" t="n">
        <f aca="false">IF($A6="","",SUMIFS(Remplacements!$C$6:$C$255,Remplacements!$D$6:$D$255,$A6,Remplacements!$G$6:$G$255,$B$3))</f>
        <v>0</v>
      </c>
      <c r="D6" s="20" t="n">
        <f aca="false">IF($A6="","",SUMIF(Remplacements!$E$6:$E$255,$A6,Remplacements!$C$6:$C$255))</f>
        <v>0</v>
      </c>
      <c r="E6" s="20" t="n">
        <f aca="false">IF($A6="","",SUMIF(Remplacements!$D$6:$D$255,$A6,Remplacements!$C$6:$C$255))</f>
        <v>0</v>
      </c>
    </row>
    <row r="7" customFormat="false" ht="15" hidden="false" customHeight="true" outlineLevel="0" collapsed="false">
      <c r="A7" s="21" t="str">
        <f aca="false">IF(Listes!A3="","",Listes!A3)</f>
        <v>Elias</v>
      </c>
      <c r="B7" s="22" t="n">
        <f aca="false">IF($A7="","",SUMIFS(Remplacements!$C$6:$C$255,Remplacements!$E$6:$E$255,$A7,Remplacements!$G$6:$G$255,$B$3))</f>
        <v>0</v>
      </c>
      <c r="C7" s="22" t="n">
        <f aca="false">IF($A7="","",SUMIFS(Remplacements!$C$6:$C$255,Remplacements!$D$6:$D$255,$A7,Remplacements!$G$6:$G$255,$B$3))</f>
        <v>0</v>
      </c>
      <c r="D7" s="23" t="n">
        <f aca="false">IF($A7="","",SUMIF(Remplacements!$E$6:$E$255,$A7,Remplacements!$C$6:$C$255))</f>
        <v>0</v>
      </c>
      <c r="E7" s="23" t="n">
        <f aca="false">IF($A7="","",SUMIF(Remplacements!$D$6:$D$255,$A7,Remplacements!$C$6:$C$255))</f>
        <v>0</v>
      </c>
    </row>
    <row r="8" customFormat="false" ht="15" hidden="false" customHeight="true" outlineLevel="0" collapsed="false">
      <c r="A8" s="18" t="str">
        <f aca="false">IF(Listes!A4="","",Listes!A4)</f>
        <v>Taha</v>
      </c>
      <c r="B8" s="19" t="n">
        <f aca="false">IF($A8="","",SUMIFS(Remplacements!$C$6:$C$255,Remplacements!$E$6:$E$255,$A8,Remplacements!$G$6:$G$255,$B$3))</f>
        <v>0</v>
      </c>
      <c r="C8" s="19" t="n">
        <f aca="false">IF($A8="","",SUMIFS(Remplacements!$C$6:$C$255,Remplacements!$D$6:$D$255,$A8,Remplacements!$G$6:$G$255,$B$3))</f>
        <v>0</v>
      </c>
      <c r="D8" s="20" t="n">
        <f aca="false">IF($A8="","",SUMIF(Remplacements!$E$6:$E$255,$A8,Remplacements!$C$6:$C$255))</f>
        <v>0</v>
      </c>
      <c r="E8" s="20" t="n">
        <f aca="false">IF($A8="","",SUMIF(Remplacements!$D$6:$D$255,$A8,Remplacements!$C$6:$C$255))</f>
        <v>0</v>
      </c>
    </row>
    <row r="9" customFormat="false" ht="15" hidden="false" customHeight="true" outlineLevel="0" collapsed="false">
      <c r="A9" s="21" t="str">
        <f aca="false">IF(Listes!A5="","",Listes!A5)</f>
        <v>Julien</v>
      </c>
      <c r="B9" s="22" t="n">
        <f aca="false">IF($A9="","",SUMIFS(Remplacements!$C$6:$C$255,Remplacements!$E$6:$E$255,$A9,Remplacements!$G$6:$G$255,$B$3))</f>
        <v>0</v>
      </c>
      <c r="C9" s="22" t="n">
        <f aca="false">IF($A9="","",SUMIFS(Remplacements!$C$6:$C$255,Remplacements!$D$6:$D$255,$A9,Remplacements!$G$6:$G$255,$B$3))</f>
        <v>0</v>
      </c>
      <c r="D9" s="23" t="n">
        <f aca="false">IF($A9="","",SUMIF(Remplacements!$E$6:$E$255,$A9,Remplacements!$C$6:$C$255))</f>
        <v>0</v>
      </c>
      <c r="E9" s="23" t="n">
        <f aca="false">IF($A9="","",SUMIF(Remplacements!$D$6:$D$255,$A9,Remplacements!$C$6:$C$255))</f>
        <v>0</v>
      </c>
    </row>
    <row r="10" customFormat="false" ht="15" hidden="false" customHeight="true" outlineLevel="0" collapsed="false">
      <c r="A10" s="18" t="str">
        <f aca="false">IF(Listes!A6="","",Listes!A6)</f>
        <v>Mario</v>
      </c>
      <c r="B10" s="19" t="n">
        <f aca="false">IF($A10="","",SUMIFS(Remplacements!$C$6:$C$255,Remplacements!$E$6:$E$255,$A10,Remplacements!$G$6:$G$255,$B$3))</f>
        <v>0</v>
      </c>
      <c r="C10" s="19" t="n">
        <f aca="false">IF($A10="","",SUMIFS(Remplacements!$C$6:$C$255,Remplacements!$D$6:$D$255,$A10,Remplacements!$G$6:$G$255,$B$3))</f>
        <v>0</v>
      </c>
      <c r="D10" s="20" t="n">
        <f aca="false">IF($A10="","",SUMIF(Remplacements!$E$6:$E$255,$A10,Remplacements!$C$6:$C$255))</f>
        <v>0</v>
      </c>
      <c r="E10" s="20" t="n">
        <f aca="false">IF($A10="","",SUMIF(Remplacements!$D$6:$D$255,$A10,Remplacements!$C$6:$C$255))</f>
        <v>0</v>
      </c>
    </row>
    <row r="11" customFormat="false" ht="15" hidden="false" customHeight="true" outlineLevel="0" collapsed="false">
      <c r="A11" s="21" t="str">
        <f aca="false">IF(Listes!A7="","",Listes!A7)</f>
        <v>Thibault</v>
      </c>
      <c r="B11" s="22" t="n">
        <f aca="false">IF($A11="","",SUMIFS(Remplacements!$C$6:$C$255,Remplacements!$E$6:$E$255,$A11,Remplacements!$G$6:$G$255,$B$3))</f>
        <v>0</v>
      </c>
      <c r="C11" s="22" t="n">
        <f aca="false">IF($A11="","",SUMIFS(Remplacements!$C$6:$C$255,Remplacements!$D$6:$D$255,$A11,Remplacements!$G$6:$G$255,$B$3))</f>
        <v>0</v>
      </c>
      <c r="D11" s="23" t="n">
        <f aca="false">IF($A11="","",SUMIF(Remplacements!$E$6:$E$255,$A11,Remplacements!$C$6:$C$255))</f>
        <v>0</v>
      </c>
      <c r="E11" s="23" t="n">
        <f aca="false">IF($A11="","",SUMIF(Remplacements!$D$6:$D$255,$A11,Remplacements!$C$6:$C$255))</f>
        <v>0</v>
      </c>
    </row>
    <row r="12" customFormat="false" ht="15" hidden="false" customHeight="true" outlineLevel="0" collapsed="false">
      <c r="A12" s="18" t="str">
        <f aca="false">IF(Listes!A8="","",Listes!A8)</f>
        <v>Philippe</v>
      </c>
      <c r="B12" s="19" t="n">
        <f aca="false">IF($A12="","",SUMIFS(Remplacements!$C$6:$C$255,Remplacements!$E$6:$E$255,$A12,Remplacements!$G$6:$G$255,$B$3))</f>
        <v>0</v>
      </c>
      <c r="C12" s="19" t="n">
        <f aca="false">IF($A12="","",SUMIFS(Remplacements!$C$6:$C$255,Remplacements!$D$6:$D$255,$A12,Remplacements!$G$6:$G$255,$B$3))</f>
        <v>0</v>
      </c>
      <c r="D12" s="20" t="n">
        <f aca="false">IF($A12="","",SUMIF(Remplacements!$E$6:$E$255,$A12,Remplacements!$C$6:$C$255))</f>
        <v>0</v>
      </c>
      <c r="E12" s="20" t="n">
        <f aca="false">IF($A12="","",SUMIF(Remplacements!$D$6:$D$255,$A12,Remplacements!$C$6:$C$255))</f>
        <v>0</v>
      </c>
    </row>
    <row r="13" customFormat="false" ht="15" hidden="false" customHeight="true" outlineLevel="0" collapsed="false">
      <c r="A13" s="21" t="str">
        <f aca="false">IF(Listes!A9="","",Listes!A9)</f>
        <v>Adel</v>
      </c>
      <c r="B13" s="22" t="n">
        <f aca="false">IF($A13="","",SUMIFS(Remplacements!$C$6:$C$255,Remplacements!$E$6:$E$255,$A13,Remplacements!$G$6:$G$255,$B$3))</f>
        <v>0</v>
      </c>
      <c r="C13" s="22" t="n">
        <f aca="false">IF($A13="","",SUMIFS(Remplacements!$C$6:$C$255,Remplacements!$D$6:$D$255,$A13,Remplacements!$G$6:$G$255,$B$3))</f>
        <v>0</v>
      </c>
      <c r="D13" s="23" t="n">
        <f aca="false">IF($A13="","",SUMIF(Remplacements!$E$6:$E$255,$A13,Remplacements!$C$6:$C$255))</f>
        <v>0</v>
      </c>
      <c r="E13" s="23" t="n">
        <f aca="false">IF($A13="","",SUMIF(Remplacements!$D$6:$D$255,$A13,Remplacements!$C$6:$C$255))</f>
        <v>0</v>
      </c>
    </row>
    <row r="14" customFormat="false" ht="15" hidden="false" customHeight="true" outlineLevel="0" collapsed="false">
      <c r="A14" s="18" t="str">
        <f aca="false">IF(Listes!A10="","",Listes!A10)</f>
        <v>Alpaslan</v>
      </c>
      <c r="B14" s="19" t="n">
        <f aca="false">IF($A14="","",SUMIFS(Remplacements!$C$6:$C$255,Remplacements!$E$6:$E$255,$A14,Remplacements!$G$6:$G$255,$B$3))</f>
        <v>0</v>
      </c>
      <c r="C14" s="19" t="n">
        <f aca="false">IF($A14="","",SUMIFS(Remplacements!$C$6:$C$255,Remplacements!$D$6:$D$255,$A14,Remplacements!$G$6:$G$255,$B$3))</f>
        <v>0</v>
      </c>
      <c r="D14" s="20" t="n">
        <f aca="false">IF($A14="","",SUMIF(Remplacements!$E$6:$E$255,$A14,Remplacements!$C$6:$C$255))</f>
        <v>0</v>
      </c>
      <c r="E14" s="20" t="n">
        <f aca="false">IF($A14="","",SUMIF(Remplacements!$D$6:$D$255,$A14,Remplacements!$C$6:$C$255))</f>
        <v>0</v>
      </c>
    </row>
    <row r="15" customFormat="false" ht="15" hidden="false" customHeight="true" outlineLevel="0" collapsed="false">
      <c r="A15" s="21" t="str">
        <f aca="false">IF(Listes!A11="","",Listes!A11)</f>
        <v>Armelle</v>
      </c>
      <c r="B15" s="22" t="n">
        <f aca="false">IF($A15="","",SUMIFS(Remplacements!$C$6:$C$255,Remplacements!$E$6:$E$255,$A15,Remplacements!$G$6:$G$255,$B$3))</f>
        <v>0</v>
      </c>
      <c r="C15" s="22" t="n">
        <f aca="false">IF($A15="","",SUMIFS(Remplacements!$C$6:$C$255,Remplacements!$D$6:$D$255,$A15,Remplacements!$G$6:$G$255,$B$3))</f>
        <v>0</v>
      </c>
      <c r="D15" s="23" t="n">
        <f aca="false">IF($A15="","",SUMIF(Remplacements!$E$6:$E$255,$A15,Remplacements!$C$6:$C$255))</f>
        <v>0</v>
      </c>
      <c r="E15" s="23" t="n">
        <f aca="false">IF($A15="","",SUMIF(Remplacements!$D$6:$D$255,$A15,Remplacements!$C$6:$C$255))</f>
        <v>0</v>
      </c>
    </row>
    <row r="16" customFormat="false" ht="15" hidden="false" customHeight="true" outlineLevel="0" collapsed="false">
      <c r="A16" s="18" t="str">
        <f aca="false">IF(Listes!A12="","",Listes!A12)</f>
        <v>Celia</v>
      </c>
      <c r="B16" s="19" t="n">
        <f aca="false">IF($A16="","",SUMIFS(Remplacements!$C$6:$C$255,Remplacements!$E$6:$E$255,$A16,Remplacements!$G$6:$G$255,$B$3))</f>
        <v>0</v>
      </c>
      <c r="C16" s="19" t="n">
        <f aca="false">IF($A16="","",SUMIFS(Remplacements!$C$6:$C$255,Remplacements!$D$6:$D$255,$A16,Remplacements!$G$6:$G$255,$B$3))</f>
        <v>0</v>
      </c>
      <c r="D16" s="20" t="n">
        <f aca="false">IF($A16="","",SUMIF(Remplacements!$E$6:$E$255,$A16,Remplacements!$C$6:$C$255))</f>
        <v>0</v>
      </c>
      <c r="E16" s="20" t="n">
        <f aca="false">IF($A16="","",SUMIF(Remplacements!$D$6:$D$255,$A16,Remplacements!$C$6:$C$255))</f>
        <v>0</v>
      </c>
    </row>
    <row r="17" customFormat="false" ht="15" hidden="false" customHeight="true" outlineLevel="0" collapsed="false">
      <c r="A17" s="21" t="str">
        <f aca="false">IF(Listes!A13="","",Listes!A13)</f>
        <v>Clément</v>
      </c>
      <c r="B17" s="22" t="n">
        <f aca="false">IF($A17="","",SUMIFS(Remplacements!$C$6:$C$255,Remplacements!$E$6:$E$255,$A17,Remplacements!$G$6:$G$255,$B$3))</f>
        <v>0</v>
      </c>
      <c r="C17" s="22" t="n">
        <f aca="false">IF($A17="","",SUMIFS(Remplacements!$C$6:$C$255,Remplacements!$D$6:$D$255,$A17,Remplacements!$G$6:$G$255,$B$3))</f>
        <v>0</v>
      </c>
      <c r="D17" s="23" t="n">
        <f aca="false">IF($A17="","",SUMIF(Remplacements!$E$6:$E$255,$A17,Remplacements!$C$6:$C$255))</f>
        <v>0</v>
      </c>
      <c r="E17" s="23" t="n">
        <f aca="false">IF($A17="","",SUMIF(Remplacements!$D$6:$D$255,$A17,Remplacements!$C$6:$C$255))</f>
        <v>0</v>
      </c>
    </row>
    <row r="18" customFormat="false" ht="15" hidden="false" customHeight="true" outlineLevel="0" collapsed="false">
      <c r="A18" s="18" t="str">
        <f aca="false">IF(Listes!A14="","",Listes!A14)</f>
        <v>Fred</v>
      </c>
      <c r="B18" s="19" t="n">
        <f aca="false">IF($A18="","",SUMIFS(Remplacements!$C$6:$C$255,Remplacements!$E$6:$E$255,$A18,Remplacements!$G$6:$G$255,$B$3))</f>
        <v>0</v>
      </c>
      <c r="C18" s="19" t="n">
        <f aca="false">IF($A18="","",SUMIFS(Remplacements!$C$6:$C$255,Remplacements!$D$6:$D$255,$A18,Remplacements!$G$6:$G$255,$B$3))</f>
        <v>0</v>
      </c>
      <c r="D18" s="20" t="n">
        <f aca="false">IF($A18="","",SUMIF(Remplacements!$E$6:$E$255,$A18,Remplacements!$C$6:$C$255))</f>
        <v>0</v>
      </c>
      <c r="E18" s="20" t="n">
        <f aca="false">IF($A18="","",SUMIF(Remplacements!$D$6:$D$255,$A18,Remplacements!$C$6:$C$255))</f>
        <v>0</v>
      </c>
    </row>
    <row r="19" customFormat="false" ht="15" hidden="false" customHeight="true" outlineLevel="0" collapsed="false">
      <c r="A19" s="21" t="str">
        <f aca="false">IF(Listes!A15="","",Listes!A15)</f>
        <v>Guillaume</v>
      </c>
      <c r="B19" s="22" t="n">
        <f aca="false">IF($A19="","",SUMIFS(Remplacements!$C$6:$C$255,Remplacements!$E$6:$E$255,$A19,Remplacements!$G$6:$G$255,$B$3))</f>
        <v>0</v>
      </c>
      <c r="C19" s="22" t="n">
        <f aca="false">IF($A19="","",SUMIFS(Remplacements!$C$6:$C$255,Remplacements!$D$6:$D$255,$A19,Remplacements!$G$6:$G$255,$B$3))</f>
        <v>0</v>
      </c>
      <c r="D19" s="23" t="n">
        <f aca="false">IF($A19="","",SUMIF(Remplacements!$E$6:$E$255,$A19,Remplacements!$C$6:$C$255))</f>
        <v>0</v>
      </c>
      <c r="E19" s="23" t="n">
        <f aca="false">IF($A19="","",SUMIF(Remplacements!$D$6:$D$255,$A19,Remplacements!$C$6:$C$255))</f>
        <v>0</v>
      </c>
    </row>
    <row r="20" customFormat="false" ht="15" hidden="false" customHeight="true" outlineLevel="0" collapsed="false">
      <c r="A20" s="18" t="str">
        <f aca="false">IF(Listes!A16="","",Listes!A16)</f>
        <v>Jad</v>
      </c>
      <c r="B20" s="19" t="n">
        <f aca="false">IF($A20="","",SUMIFS(Remplacements!$C$6:$C$255,Remplacements!$E$6:$E$255,$A20,Remplacements!$G$6:$G$255,$B$3))</f>
        <v>0</v>
      </c>
      <c r="C20" s="19" t="n">
        <f aca="false">IF($A20="","",SUMIFS(Remplacements!$C$6:$C$255,Remplacements!$D$6:$D$255,$A20,Remplacements!$G$6:$G$255,$B$3))</f>
        <v>0</v>
      </c>
      <c r="D20" s="20" t="n">
        <f aca="false">IF($A20="","",SUMIF(Remplacements!$E$6:$E$255,$A20,Remplacements!$C$6:$C$255))</f>
        <v>0</v>
      </c>
      <c r="E20" s="20" t="n">
        <f aca="false">IF($A20="","",SUMIF(Remplacements!$D$6:$D$255,$A20,Remplacements!$C$6:$C$255))</f>
        <v>0</v>
      </c>
    </row>
    <row r="21" customFormat="false" ht="15" hidden="false" customHeight="true" outlineLevel="0" collapsed="false">
      <c r="A21" s="21" t="str">
        <f aca="false">IF(Listes!A17="","",Listes!A17)</f>
        <v>Jérémie</v>
      </c>
      <c r="B21" s="22" t="n">
        <f aca="false">IF($A21="","",SUMIFS(Remplacements!$C$6:$C$255,Remplacements!$E$6:$E$255,$A21,Remplacements!$G$6:$G$255,$B$3))</f>
        <v>0</v>
      </c>
      <c r="C21" s="22" t="n">
        <f aca="false">IF($A21="","",SUMIFS(Remplacements!$C$6:$C$255,Remplacements!$D$6:$D$255,$A21,Remplacements!$G$6:$G$255,$B$3))</f>
        <v>0</v>
      </c>
      <c r="D21" s="23" t="n">
        <f aca="false">IF($A21="","",SUMIF(Remplacements!$E$6:$E$255,$A21,Remplacements!$C$6:$C$255))</f>
        <v>0</v>
      </c>
      <c r="E21" s="23" t="n">
        <f aca="false">IF($A21="","",SUMIF(Remplacements!$D$6:$D$255,$A21,Remplacements!$C$6:$C$255))</f>
        <v>0</v>
      </c>
    </row>
    <row r="22" customFormat="false" ht="15" hidden="false" customHeight="true" outlineLevel="0" collapsed="false">
      <c r="A22" s="18" t="str">
        <f aca="false">IF(Listes!A18="","",Listes!A18)</f>
        <v>Loïc</v>
      </c>
      <c r="B22" s="19" t="n">
        <f aca="false">IF($A22="","",SUMIFS(Remplacements!$C$6:$C$255,Remplacements!$E$6:$E$255,$A22,Remplacements!$G$6:$G$255,$B$3))</f>
        <v>0</v>
      </c>
      <c r="C22" s="19" t="n">
        <f aca="false">IF($A22="","",SUMIFS(Remplacements!$C$6:$C$255,Remplacements!$D$6:$D$255,$A22,Remplacements!$G$6:$G$255,$B$3))</f>
        <v>0</v>
      </c>
      <c r="D22" s="20" t="n">
        <f aca="false">IF($A22="","",SUMIF(Remplacements!$E$6:$E$255,$A22,Remplacements!$C$6:$C$255))</f>
        <v>0</v>
      </c>
      <c r="E22" s="20" t="n">
        <f aca="false">IF($A22="","",SUMIF(Remplacements!$D$6:$D$255,$A22,Remplacements!$C$6:$C$255))</f>
        <v>0</v>
      </c>
    </row>
    <row r="23" customFormat="false" ht="15" hidden="false" customHeight="true" outlineLevel="0" collapsed="false">
      <c r="A23" s="21" t="str">
        <f aca="false">IF(Listes!A19="","",Listes!A19)</f>
        <v>Morad</v>
      </c>
      <c r="B23" s="22" t="n">
        <f aca="false">IF($A23="","",SUMIFS(Remplacements!$C$6:$C$255,Remplacements!$E$6:$E$255,$A23,Remplacements!$G$6:$G$255,$B$3))</f>
        <v>0</v>
      </c>
      <c r="C23" s="22" t="n">
        <f aca="false">IF($A23="","",SUMIFS(Remplacements!$C$6:$C$255,Remplacements!$D$6:$D$255,$A23,Remplacements!$G$6:$G$255,$B$3))</f>
        <v>0</v>
      </c>
      <c r="D23" s="23" t="n">
        <f aca="false">IF($A23="","",SUMIF(Remplacements!$E$6:$E$255,$A23,Remplacements!$C$6:$C$255))</f>
        <v>0</v>
      </c>
      <c r="E23" s="23" t="n">
        <f aca="false">IF($A23="","",SUMIF(Remplacements!$D$6:$D$255,$A23,Remplacements!$C$6:$C$255))</f>
        <v>0</v>
      </c>
    </row>
    <row r="24" customFormat="false" ht="15" hidden="false" customHeight="true" outlineLevel="0" collapsed="false">
      <c r="A24" s="18" t="str">
        <f aca="false">IF(Listes!A20="","",Listes!A20)</f>
        <v>Pascal</v>
      </c>
      <c r="B24" s="19" t="n">
        <f aca="false">IF($A24="","",SUMIFS(Remplacements!$C$6:$C$255,Remplacements!$E$6:$E$255,$A24,Remplacements!$G$6:$G$255,$B$3))</f>
        <v>0</v>
      </c>
      <c r="C24" s="19" t="n">
        <f aca="false">IF($A24="","",SUMIFS(Remplacements!$C$6:$C$255,Remplacements!$D$6:$D$255,$A24,Remplacements!$G$6:$G$255,$B$3))</f>
        <v>0</v>
      </c>
      <c r="D24" s="20" t="n">
        <f aca="false">IF($A24="","",SUMIF(Remplacements!$E$6:$E$255,$A24,Remplacements!$C$6:$C$255))</f>
        <v>0</v>
      </c>
      <c r="E24" s="20" t="n">
        <f aca="false">IF($A24="","",SUMIF(Remplacements!$D$6:$D$255,$A24,Remplacements!$C$6:$C$255))</f>
        <v>0</v>
      </c>
    </row>
    <row r="25" customFormat="false" ht="15" hidden="false" customHeight="true" outlineLevel="0" collapsed="false">
      <c r="A25" s="21" t="str">
        <f aca="false">IF(Listes!A21="","",Listes!A21)</f>
        <v>Thibaut</v>
      </c>
      <c r="B25" s="22" t="n">
        <f aca="false">IF($A25="","",SUMIFS(Remplacements!$C$6:$C$255,Remplacements!$E$6:$E$255,$A25,Remplacements!$G$6:$G$255,$B$3))</f>
        <v>0</v>
      </c>
      <c r="C25" s="22" t="n">
        <f aca="false">IF($A25="","",SUMIFS(Remplacements!$C$6:$C$255,Remplacements!$D$6:$D$255,$A25,Remplacements!$G$6:$G$255,$B$3))</f>
        <v>0</v>
      </c>
      <c r="D25" s="23" t="n">
        <f aca="false">IF($A25="","",SUMIF(Remplacements!$E$6:$E$255,$A25,Remplacements!$C$6:$C$255))</f>
        <v>0</v>
      </c>
      <c r="E25" s="23" t="n">
        <f aca="false">IF($A25="","",SUMIF(Remplacements!$D$6:$D$255,$A25,Remplacements!$C$6:$C$255))</f>
        <v>0</v>
      </c>
    </row>
    <row r="26" customFormat="false" ht="15" hidden="false" customHeight="true" outlineLevel="0" collapsed="false">
      <c r="A26" s="18" t="str">
        <f aca="false">IF(Listes!A22="","",Listes!A22)</f>
        <v>Xavier</v>
      </c>
      <c r="B26" s="19" t="n">
        <f aca="false">IF($A26="","",SUMIFS(Remplacements!$C$6:$C$255,Remplacements!$E$6:$E$255,$A26,Remplacements!$G$6:$G$255,$B$3))</f>
        <v>0</v>
      </c>
      <c r="C26" s="19" t="n">
        <f aca="false">IF($A26="","",SUMIFS(Remplacements!$C$6:$C$255,Remplacements!$D$6:$D$255,$A26,Remplacements!$G$6:$G$255,$B$3))</f>
        <v>0</v>
      </c>
      <c r="D26" s="20" t="n">
        <f aca="false">IF($A26="","",SUMIF(Remplacements!$E$6:$E$255,$A26,Remplacements!$C$6:$C$255))</f>
        <v>0</v>
      </c>
      <c r="E26" s="20" t="n">
        <f aca="false">IF($A26="","",SUMIF(Remplacements!$D$6:$D$255,$A26,Remplacements!$C$6:$C$255))</f>
        <v>0</v>
      </c>
    </row>
    <row r="27" customFormat="false" ht="15" hidden="false" customHeight="true" outlineLevel="0" collapsed="false">
      <c r="A27" s="21" t="str">
        <f aca="false">IF(Listes!A23="","",Listes!A23)</f>
        <v>Zeliha</v>
      </c>
      <c r="B27" s="22" t="n">
        <f aca="false">IF($A27="","",SUMIFS(Remplacements!$C$6:$C$255,Remplacements!$E$6:$E$255,$A27,Remplacements!$G$6:$G$255,$B$3))</f>
        <v>0</v>
      </c>
      <c r="C27" s="22" t="n">
        <f aca="false">IF($A27="","",SUMIFS(Remplacements!$C$6:$C$255,Remplacements!$D$6:$D$255,$A27,Remplacements!$G$6:$G$255,$B$3))</f>
        <v>0</v>
      </c>
      <c r="D27" s="23" t="n">
        <f aca="false">IF($A27="","",SUMIF(Remplacements!$E$6:$E$255,$A27,Remplacements!$C$6:$C$255))</f>
        <v>0</v>
      </c>
      <c r="E27" s="23" t="n">
        <f aca="false">IF($A27="","",SUMIF(Remplacements!$D$6:$D$255,$A27,Remplacements!$C$6:$C$255))</f>
        <v>0</v>
      </c>
    </row>
    <row r="28" customFormat="false" ht="15" hidden="false" customHeight="true" outlineLevel="0" collapsed="false">
      <c r="A28" s="18" t="str">
        <f aca="false">IF(Listes!A24="","",Listes!A24)</f>
        <v>Camelia</v>
      </c>
      <c r="B28" s="19" t="n">
        <f aca="false">IF($A28="","",SUMIFS(Remplacements!$C$6:$C$255,Remplacements!$E$6:$E$255,$A28,Remplacements!$G$6:$G$255,$B$3))</f>
        <v>0</v>
      </c>
      <c r="C28" s="19" t="n">
        <f aca="false">IF($A28="","",SUMIFS(Remplacements!$C$6:$C$255,Remplacements!$D$6:$D$255,$A28,Remplacements!$G$6:$G$255,$B$3))</f>
        <v>0</v>
      </c>
      <c r="D28" s="20" t="n">
        <f aca="false">IF($A28="","",SUMIF(Remplacements!$E$6:$E$255,$A28,Remplacements!$C$6:$C$255))</f>
        <v>0</v>
      </c>
      <c r="E28" s="20" t="n">
        <f aca="false">IF($A28="","",SUMIF(Remplacements!$D$6:$D$255,$A28,Remplacements!$C$6:$C$255))</f>
        <v>0</v>
      </c>
    </row>
    <row r="29" customFormat="false" ht="15" hidden="false" customHeight="true" outlineLevel="0" collapsed="false">
      <c r="A29" s="21" t="str">
        <f aca="false">IF(Listes!A25="","",Listes!A25)</f>
        <v/>
      </c>
      <c r="B29" s="22" t="str">
        <f aca="false">IF($A29="","",SUMIFS(Remplacements!$C$6:$C$255,Remplacements!$E$6:$E$255,$A29,Remplacements!$G$6:$G$255,$B$3))</f>
        <v/>
      </c>
      <c r="C29" s="22" t="str">
        <f aca="false">IF($A29="","",SUMIFS(Remplacements!$C$6:$C$255,Remplacements!$D$6:$D$255,$A29,Remplacements!$G$6:$G$255,$B$3))</f>
        <v/>
      </c>
      <c r="D29" s="23" t="str">
        <f aca="false">IF($A29="","",SUMIF(Remplacements!$E$6:$E$255,$A29,Remplacements!$C$6:$C$255))</f>
        <v/>
      </c>
      <c r="E29" s="23" t="str">
        <f aca="false">IF($A29="","",SUMIF(Remplacements!$D$6:$D$255,$A29,Remplacements!$C$6:$C$255))</f>
        <v/>
      </c>
    </row>
    <row r="30" customFormat="false" ht="15" hidden="false" customHeight="true" outlineLevel="0" collapsed="false">
      <c r="A30" s="18" t="str">
        <f aca="false">IF(Listes!A26="","",Listes!A26)</f>
        <v/>
      </c>
      <c r="B30" s="19" t="str">
        <f aca="false">IF($A30="","",SUMIFS(Remplacements!$C$6:$C$255,Remplacements!$E$6:$E$255,$A30,Remplacements!$G$6:$G$255,$B$3))</f>
        <v/>
      </c>
      <c r="C30" s="19" t="str">
        <f aca="false">IF($A30="","",SUMIFS(Remplacements!$C$6:$C$255,Remplacements!$D$6:$D$255,$A30,Remplacements!$G$6:$G$255,$B$3))</f>
        <v/>
      </c>
      <c r="D30" s="20" t="str">
        <f aca="false">IF($A30="","",SUMIF(Remplacements!$E$6:$E$255,$A30,Remplacements!$C$6:$C$255))</f>
        <v/>
      </c>
      <c r="E30" s="20" t="str">
        <f aca="false">IF($A30="","",SUMIF(Remplacements!$D$6:$D$255,$A30,Remplacements!$C$6:$C$255))</f>
        <v/>
      </c>
    </row>
    <row r="31" customFormat="false" ht="15" hidden="false" customHeight="true" outlineLevel="0" collapsed="false">
      <c r="A31" s="21" t="str">
        <f aca="false">IF(Listes!A27="","",Listes!A27)</f>
        <v/>
      </c>
      <c r="B31" s="22" t="str">
        <f aca="false">IF($A31="","",SUMIFS(Remplacements!$C$6:$C$255,Remplacements!$E$6:$E$255,$A31,Remplacements!$G$6:$G$255,$B$3))</f>
        <v/>
      </c>
      <c r="C31" s="22" t="str">
        <f aca="false">IF($A31="","",SUMIFS(Remplacements!$C$6:$C$255,Remplacements!$D$6:$D$255,$A31,Remplacements!$G$6:$G$255,$B$3))</f>
        <v/>
      </c>
      <c r="D31" s="23" t="str">
        <f aca="false">IF($A31="","",SUMIF(Remplacements!$E$6:$E$255,$A31,Remplacements!$C$6:$C$255))</f>
        <v/>
      </c>
      <c r="E31" s="23" t="str">
        <f aca="false">IF($A31="","",SUMIF(Remplacements!$D$6:$D$255,$A31,Remplacements!$C$6:$C$255))</f>
        <v/>
      </c>
    </row>
    <row r="32" customFormat="false" ht="15" hidden="false" customHeight="true" outlineLevel="0" collapsed="false">
      <c r="A32" s="18" t="str">
        <f aca="false">IF(Listes!A28="","",Listes!A28)</f>
        <v/>
      </c>
      <c r="B32" s="19" t="str">
        <f aca="false">IF($A32="","",SUMIFS(Remplacements!$C$6:$C$255,Remplacements!$E$6:$E$255,$A32,Remplacements!$G$6:$G$255,$B$3))</f>
        <v/>
      </c>
      <c r="C32" s="19" t="str">
        <f aca="false">IF($A32="","",SUMIFS(Remplacements!$C$6:$C$255,Remplacements!$D$6:$D$255,$A32,Remplacements!$G$6:$G$255,$B$3))</f>
        <v/>
      </c>
      <c r="D32" s="20" t="str">
        <f aca="false">IF($A32="","",SUMIF(Remplacements!$E$6:$E$255,$A32,Remplacements!$C$6:$C$255))</f>
        <v/>
      </c>
      <c r="E32" s="20" t="str">
        <f aca="false">IF($A32="","",SUMIF(Remplacements!$D$6:$D$255,$A32,Remplacements!$C$6:$C$255))</f>
        <v/>
      </c>
    </row>
    <row r="33" customFormat="false" ht="15" hidden="false" customHeight="true" outlineLevel="0" collapsed="false">
      <c r="A33" s="21" t="str">
        <f aca="false">IF(Listes!A29="","",Listes!A29)</f>
        <v/>
      </c>
      <c r="B33" s="22" t="str">
        <f aca="false">IF($A33="","",SUMIFS(Remplacements!$C$6:$C$255,Remplacements!$E$6:$E$255,$A33,Remplacements!$G$6:$G$255,$B$3))</f>
        <v/>
      </c>
      <c r="C33" s="22" t="str">
        <f aca="false">IF($A33="","",SUMIFS(Remplacements!$C$6:$C$255,Remplacements!$D$6:$D$255,$A33,Remplacements!$G$6:$G$255,$B$3))</f>
        <v/>
      </c>
      <c r="D33" s="23" t="str">
        <f aca="false">IF($A33="","",SUMIF(Remplacements!$E$6:$E$255,$A33,Remplacements!$C$6:$C$255))</f>
        <v/>
      </c>
      <c r="E33" s="23" t="str">
        <f aca="false">IF($A33="","",SUMIF(Remplacements!$D$6:$D$255,$A33,Remplacements!$C$6:$C$255))</f>
        <v/>
      </c>
    </row>
    <row r="34" customFormat="false" ht="15" hidden="false" customHeight="true" outlineLevel="0" collapsed="false">
      <c r="A34" s="18" t="str">
        <f aca="false">IF(Listes!A30="","",Listes!A30)</f>
        <v/>
      </c>
      <c r="B34" s="19" t="str">
        <f aca="false">IF($A34="","",SUMIFS(Remplacements!$C$6:$C$255,Remplacements!$E$6:$E$255,$A34,Remplacements!$G$6:$G$255,$B$3))</f>
        <v/>
      </c>
      <c r="C34" s="19" t="str">
        <f aca="false">IF($A34="","",SUMIFS(Remplacements!$C$6:$C$255,Remplacements!$D$6:$D$255,$A34,Remplacements!$G$6:$G$255,$B$3))</f>
        <v/>
      </c>
      <c r="D34" s="20" t="str">
        <f aca="false">IF($A34="","",SUMIF(Remplacements!$E$6:$E$255,$A34,Remplacements!$C$6:$C$255))</f>
        <v/>
      </c>
      <c r="E34" s="20" t="str">
        <f aca="false">IF($A34="","",SUMIF(Remplacements!$D$6:$D$255,$A34,Remplacements!$C$6:$C$255))</f>
        <v/>
      </c>
    </row>
    <row r="35" customFormat="false" ht="15" hidden="false" customHeight="true" outlineLevel="0" collapsed="false">
      <c r="A35" s="21" t="str">
        <f aca="false">IF(Listes!A31="","",Listes!A31)</f>
        <v/>
      </c>
      <c r="B35" s="22" t="str">
        <f aca="false">IF($A35="","",SUMIFS(Remplacements!$C$6:$C$255,Remplacements!$E$6:$E$255,$A35,Remplacements!$G$6:$G$255,$B$3))</f>
        <v/>
      </c>
      <c r="C35" s="22" t="str">
        <f aca="false">IF($A35="","",SUMIFS(Remplacements!$C$6:$C$255,Remplacements!$D$6:$D$255,$A35,Remplacements!$G$6:$G$255,$B$3))</f>
        <v/>
      </c>
      <c r="D35" s="23" t="str">
        <f aca="false">IF($A35="","",SUMIF(Remplacements!$E$6:$E$255,$A35,Remplacements!$C$6:$C$255))</f>
        <v/>
      </c>
      <c r="E35" s="23" t="str">
        <f aca="false">IF($A35="","",SUMIF(Remplacements!$D$6:$D$255,$A35,Remplacements!$C$6:$C$255))</f>
        <v/>
      </c>
    </row>
    <row r="36" customFormat="false" ht="15" hidden="false" customHeight="true" outlineLevel="0" collapsed="false">
      <c r="A36" s="18" t="str">
        <f aca="false">IF(Listes!A32="","",Listes!A32)</f>
        <v/>
      </c>
      <c r="B36" s="19" t="str">
        <f aca="false">IF($A36="","",SUMIFS(Remplacements!$C$6:$C$255,Remplacements!$E$6:$E$255,$A36,Remplacements!$G$6:$G$255,$B$3))</f>
        <v/>
      </c>
      <c r="C36" s="19" t="str">
        <f aca="false">IF($A36="","",SUMIFS(Remplacements!$C$6:$C$255,Remplacements!$D$6:$D$255,$A36,Remplacements!$G$6:$G$255,$B$3))</f>
        <v/>
      </c>
      <c r="D36" s="20" t="str">
        <f aca="false">IF($A36="","",SUMIF(Remplacements!$E$6:$E$255,$A36,Remplacements!$C$6:$C$255))</f>
        <v/>
      </c>
      <c r="E36" s="20" t="str">
        <f aca="false">IF($A36="","",SUMIF(Remplacements!$D$6:$D$255,$A36,Remplacements!$C$6:$C$255))</f>
        <v/>
      </c>
    </row>
    <row r="37" customFormat="false" ht="15" hidden="false" customHeight="true" outlineLevel="0" collapsed="false">
      <c r="A37" s="21" t="str">
        <f aca="false">IF(Listes!A33="","",Listes!A33)</f>
        <v/>
      </c>
      <c r="B37" s="22" t="str">
        <f aca="false">IF($A37="","",SUMIFS(Remplacements!$C$6:$C$255,Remplacements!$E$6:$E$255,$A37,Remplacements!$G$6:$G$255,$B$3))</f>
        <v/>
      </c>
      <c r="C37" s="22" t="str">
        <f aca="false">IF($A37="","",SUMIFS(Remplacements!$C$6:$C$255,Remplacements!$D$6:$D$255,$A37,Remplacements!$G$6:$G$255,$B$3))</f>
        <v/>
      </c>
      <c r="D37" s="23" t="str">
        <f aca="false">IF($A37="","",SUMIF(Remplacements!$E$6:$E$255,$A37,Remplacements!$C$6:$C$255))</f>
        <v/>
      </c>
      <c r="E37" s="23" t="str">
        <f aca="false">IF($A37="","",SUMIF(Remplacements!$D$6:$D$255,$A37,Remplacements!$C$6:$C$255))</f>
        <v/>
      </c>
    </row>
    <row r="38" customFormat="false" ht="15" hidden="false" customHeight="true" outlineLevel="0" collapsed="false">
      <c r="A38" s="18" t="str">
        <f aca="false">IF(Listes!A34="","",Listes!A34)</f>
        <v/>
      </c>
      <c r="B38" s="19" t="str">
        <f aca="false">IF($A38="","",SUMIFS(Remplacements!$C$6:$C$255,Remplacements!$E$6:$E$255,$A38,Remplacements!$G$6:$G$255,$B$3))</f>
        <v/>
      </c>
      <c r="C38" s="19" t="str">
        <f aca="false">IF($A38="","",SUMIFS(Remplacements!$C$6:$C$255,Remplacements!$D$6:$D$255,$A38,Remplacements!$G$6:$G$255,$B$3))</f>
        <v/>
      </c>
      <c r="D38" s="20" t="str">
        <f aca="false">IF($A38="","",SUMIF(Remplacements!$E$6:$E$255,$A38,Remplacements!$C$6:$C$255))</f>
        <v/>
      </c>
      <c r="E38" s="20" t="str">
        <f aca="false">IF($A38="","",SUMIF(Remplacements!$D$6:$D$255,$A38,Remplacements!$C$6:$C$255))</f>
        <v/>
      </c>
    </row>
    <row r="39" customFormat="false" ht="15" hidden="false" customHeight="true" outlineLevel="0" collapsed="false">
      <c r="A39" s="21" t="str">
        <f aca="false">IF(Listes!A35="","",Listes!A35)</f>
        <v/>
      </c>
      <c r="B39" s="22" t="str">
        <f aca="false">IF($A39="","",SUMIFS(Remplacements!$C$6:$C$255,Remplacements!$E$6:$E$255,$A39,Remplacements!$G$6:$G$255,$B$3))</f>
        <v/>
      </c>
      <c r="C39" s="22" t="str">
        <f aca="false">IF($A39="","",SUMIFS(Remplacements!$C$6:$C$255,Remplacements!$D$6:$D$255,$A39,Remplacements!$G$6:$G$255,$B$3))</f>
        <v/>
      </c>
      <c r="D39" s="23" t="str">
        <f aca="false">IF($A39="","",SUMIF(Remplacements!$E$6:$E$255,$A39,Remplacements!$C$6:$C$255))</f>
        <v/>
      </c>
      <c r="E39" s="23" t="str">
        <f aca="false">IF($A39="","",SUMIF(Remplacements!$D$6:$D$255,$A39,Remplacements!$C$6:$C$255))</f>
        <v/>
      </c>
    </row>
    <row r="40" customFormat="false" ht="15" hidden="false" customHeight="true" outlineLevel="0" collapsed="false">
      <c r="A40" s="18" t="str">
        <f aca="false">IF(Listes!A36="","",Listes!A36)</f>
        <v/>
      </c>
      <c r="B40" s="19" t="str">
        <f aca="false">IF($A40="","",SUMIFS(Remplacements!$C$6:$C$255,Remplacements!$E$6:$E$255,$A40,Remplacements!$G$6:$G$255,$B$3))</f>
        <v/>
      </c>
      <c r="C40" s="19" t="str">
        <f aca="false">IF($A40="","",SUMIFS(Remplacements!$C$6:$C$255,Remplacements!$D$6:$D$255,$A40,Remplacements!$G$6:$G$255,$B$3))</f>
        <v/>
      </c>
      <c r="D40" s="20" t="str">
        <f aca="false">IF($A40="","",SUMIF(Remplacements!$E$6:$E$255,$A40,Remplacements!$C$6:$C$255))</f>
        <v/>
      </c>
      <c r="E40" s="20" t="str">
        <f aca="false">IF($A40="","",SUMIF(Remplacements!$D$6:$D$255,$A40,Remplacements!$C$6:$C$255))</f>
        <v/>
      </c>
    </row>
    <row r="41" customFormat="false" ht="15" hidden="false" customHeight="true" outlineLevel="0" collapsed="false">
      <c r="A41" s="21" t="str">
        <f aca="false">IF(Listes!A37="","",Listes!A37)</f>
        <v/>
      </c>
      <c r="B41" s="22" t="str">
        <f aca="false">IF($A41="","",SUMIFS(Remplacements!$C$6:$C$255,Remplacements!$E$6:$E$255,$A41,Remplacements!$G$6:$G$255,$B$3))</f>
        <v/>
      </c>
      <c r="C41" s="22" t="str">
        <f aca="false">IF($A41="","",SUMIFS(Remplacements!$C$6:$C$255,Remplacements!$D$6:$D$255,$A41,Remplacements!$G$6:$G$255,$B$3))</f>
        <v/>
      </c>
      <c r="D41" s="23" t="str">
        <f aca="false">IF($A41="","",SUMIF(Remplacements!$E$6:$E$255,$A41,Remplacements!$C$6:$C$255))</f>
        <v/>
      </c>
      <c r="E41" s="23" t="str">
        <f aca="false">IF($A41="","",SUMIF(Remplacements!$D$6:$D$255,$A41,Remplacements!$C$6:$C$255))</f>
        <v/>
      </c>
    </row>
    <row r="42" customFormat="false" ht="15" hidden="false" customHeight="true" outlineLevel="0" collapsed="false">
      <c r="A42" s="18" t="str">
        <f aca="false">IF(Listes!A38="","",Listes!A38)</f>
        <v/>
      </c>
      <c r="B42" s="19" t="str">
        <f aca="false">IF($A42="","",SUMIFS(Remplacements!$C$6:$C$255,Remplacements!$E$6:$E$255,$A42,Remplacements!$G$6:$G$255,$B$3))</f>
        <v/>
      </c>
      <c r="C42" s="19" t="str">
        <f aca="false">IF($A42="","",SUMIFS(Remplacements!$C$6:$C$255,Remplacements!$D$6:$D$255,$A42,Remplacements!$G$6:$G$255,$B$3))</f>
        <v/>
      </c>
      <c r="D42" s="20" t="str">
        <f aca="false">IF($A42="","",SUMIF(Remplacements!$E$6:$E$255,$A42,Remplacements!$C$6:$C$255))</f>
        <v/>
      </c>
      <c r="E42" s="20" t="str">
        <f aca="false">IF($A42="","",SUMIF(Remplacements!$D$6:$D$255,$A42,Remplacements!$C$6:$C$255))</f>
        <v/>
      </c>
    </row>
    <row r="43" customFormat="false" ht="15" hidden="false" customHeight="true" outlineLevel="0" collapsed="false">
      <c r="A43" s="21" t="str">
        <f aca="false">IF(Listes!A39="","",Listes!A39)</f>
        <v/>
      </c>
      <c r="B43" s="22" t="str">
        <f aca="false">IF($A43="","",SUMIFS(Remplacements!$C$6:$C$255,Remplacements!$E$6:$E$255,$A43,Remplacements!$G$6:$G$255,$B$3))</f>
        <v/>
      </c>
      <c r="C43" s="22" t="str">
        <f aca="false">IF($A43="","",SUMIFS(Remplacements!$C$6:$C$255,Remplacements!$D$6:$D$255,$A43,Remplacements!$G$6:$G$255,$B$3))</f>
        <v/>
      </c>
      <c r="D43" s="23" t="str">
        <f aca="false">IF($A43="","",SUMIF(Remplacements!$E$6:$E$255,$A43,Remplacements!$C$6:$C$255))</f>
        <v/>
      </c>
      <c r="E43" s="23" t="str">
        <f aca="false">IF($A43="","",SUMIF(Remplacements!$D$6:$D$255,$A43,Remplacements!$C$6:$C$255))</f>
        <v/>
      </c>
    </row>
    <row r="44" customFormat="false" ht="15" hidden="false" customHeight="true" outlineLevel="0" collapsed="false">
      <c r="A44" s="18" t="str">
        <f aca="false">IF(Listes!A40="","",Listes!A40)</f>
        <v/>
      </c>
      <c r="B44" s="19" t="str">
        <f aca="false">IF($A44="","",SUMIFS(Remplacements!$C$6:$C$255,Remplacements!$E$6:$E$255,$A44,Remplacements!$G$6:$G$255,$B$3))</f>
        <v/>
      </c>
      <c r="C44" s="19" t="str">
        <f aca="false">IF($A44="","",SUMIFS(Remplacements!$C$6:$C$255,Remplacements!$D$6:$D$255,$A44,Remplacements!$G$6:$G$255,$B$3))</f>
        <v/>
      </c>
      <c r="D44" s="20" t="str">
        <f aca="false">IF($A44="","",SUMIF(Remplacements!$E$6:$E$255,$A44,Remplacements!$C$6:$C$255))</f>
        <v/>
      </c>
      <c r="E44" s="20" t="str">
        <f aca="false">IF($A44="","",SUMIF(Remplacements!$D$6:$D$255,$A44,Remplacements!$C$6:$C$255))</f>
        <v/>
      </c>
    </row>
    <row r="45" customFormat="false" ht="15" hidden="false" customHeight="true" outlineLevel="0" collapsed="false">
      <c r="A45" s="21" t="str">
        <f aca="false">IF(Listes!A41="","",Listes!A41)</f>
        <v/>
      </c>
      <c r="B45" s="22" t="str">
        <f aca="false">IF($A45="","",SUMIFS(Remplacements!$C$6:$C$255,Remplacements!$E$6:$E$255,$A45,Remplacements!$G$6:$G$255,$B$3))</f>
        <v/>
      </c>
      <c r="C45" s="22" t="str">
        <f aca="false">IF($A45="","",SUMIFS(Remplacements!$C$6:$C$255,Remplacements!$D$6:$D$255,$A45,Remplacements!$G$6:$G$255,$B$3))</f>
        <v/>
      </c>
      <c r="D45" s="23" t="str">
        <f aca="false">IF($A45="","",SUMIF(Remplacements!$E$6:$E$255,$A45,Remplacements!$C$6:$C$255))</f>
        <v/>
      </c>
      <c r="E45" s="23" t="str">
        <f aca="false">IF($A45="","",SUMIF(Remplacements!$D$6:$D$255,$A45,Remplacements!$C$6:$C$255))</f>
        <v/>
      </c>
    </row>
    <row r="46" customFormat="false" ht="15" hidden="false" customHeight="true" outlineLevel="0" collapsed="false">
      <c r="A46" s="18" t="str">
        <f aca="false">IF(Listes!A42="","",Listes!A42)</f>
        <v/>
      </c>
      <c r="B46" s="19" t="str">
        <f aca="false">IF($A46="","",SUMIFS(Remplacements!$C$6:$C$255,Remplacements!$E$6:$E$255,$A46,Remplacements!$G$6:$G$255,$B$3))</f>
        <v/>
      </c>
      <c r="C46" s="19" t="str">
        <f aca="false">IF($A46="","",SUMIFS(Remplacements!$C$6:$C$255,Remplacements!$D$6:$D$255,$A46,Remplacements!$G$6:$G$255,$B$3))</f>
        <v/>
      </c>
      <c r="D46" s="20" t="str">
        <f aca="false">IF($A46="","",SUMIF(Remplacements!$E$6:$E$255,$A46,Remplacements!$C$6:$C$255))</f>
        <v/>
      </c>
      <c r="E46" s="20" t="str">
        <f aca="false">IF($A46="","",SUMIF(Remplacements!$D$6:$D$255,$A46,Remplacements!$C$6:$C$255))</f>
        <v/>
      </c>
    </row>
    <row r="47" customFormat="false" ht="15" hidden="false" customHeight="true" outlineLevel="0" collapsed="false">
      <c r="A47" s="21" t="str">
        <f aca="false">IF(Listes!A43="","",Listes!A43)</f>
        <v/>
      </c>
      <c r="B47" s="22" t="str">
        <f aca="false">IF($A47="","",SUMIFS(Remplacements!$C$6:$C$255,Remplacements!$E$6:$E$255,$A47,Remplacements!$G$6:$G$255,$B$3))</f>
        <v/>
      </c>
      <c r="C47" s="22" t="str">
        <f aca="false">IF($A47="","",SUMIFS(Remplacements!$C$6:$C$255,Remplacements!$D$6:$D$255,$A47,Remplacements!$G$6:$G$255,$B$3))</f>
        <v/>
      </c>
      <c r="D47" s="23" t="str">
        <f aca="false">IF($A47="","",SUMIF(Remplacements!$E$6:$E$255,$A47,Remplacements!$C$6:$C$255))</f>
        <v/>
      </c>
      <c r="E47" s="23" t="str">
        <f aca="false">IF($A47="","",SUMIF(Remplacements!$D$6:$D$255,$A47,Remplacements!$C$6:$C$255))</f>
        <v/>
      </c>
    </row>
    <row r="48" customFormat="false" ht="15" hidden="false" customHeight="true" outlineLevel="0" collapsed="false">
      <c r="A48" s="18" t="str">
        <f aca="false">IF(Listes!A44="","",Listes!A44)</f>
        <v/>
      </c>
      <c r="B48" s="19" t="str">
        <f aca="false">IF($A48="","",SUMIFS(Remplacements!$C$6:$C$255,Remplacements!$E$6:$E$255,$A48,Remplacements!$G$6:$G$255,$B$3))</f>
        <v/>
      </c>
      <c r="C48" s="19" t="str">
        <f aca="false">IF($A48="","",SUMIFS(Remplacements!$C$6:$C$255,Remplacements!$D$6:$D$255,$A48,Remplacements!$G$6:$G$255,$B$3))</f>
        <v/>
      </c>
      <c r="D48" s="20" t="str">
        <f aca="false">IF($A48="","",SUMIF(Remplacements!$E$6:$E$255,$A48,Remplacements!$C$6:$C$255))</f>
        <v/>
      </c>
      <c r="E48" s="20" t="str">
        <f aca="false">IF($A48="","",SUMIF(Remplacements!$D$6:$D$255,$A48,Remplacements!$C$6:$C$255))</f>
        <v/>
      </c>
    </row>
    <row r="49" customFormat="false" ht="15" hidden="false" customHeight="true" outlineLevel="0" collapsed="false">
      <c r="A49" s="21" t="str">
        <f aca="false">IF(Listes!A45="","",Listes!A45)</f>
        <v/>
      </c>
      <c r="B49" s="22" t="str">
        <f aca="false">IF($A49="","",SUMIFS(Remplacements!$C$6:$C$255,Remplacements!$E$6:$E$255,$A49,Remplacements!$G$6:$G$255,$B$3))</f>
        <v/>
      </c>
      <c r="C49" s="22" t="str">
        <f aca="false">IF($A49="","",SUMIFS(Remplacements!$C$6:$C$255,Remplacements!$D$6:$D$255,$A49,Remplacements!$G$6:$G$255,$B$3))</f>
        <v/>
      </c>
      <c r="D49" s="23" t="str">
        <f aca="false">IF($A49="","",SUMIF(Remplacements!$E$6:$E$255,$A49,Remplacements!$C$6:$C$255))</f>
        <v/>
      </c>
      <c r="E49" s="23" t="str">
        <f aca="false">IF($A49="","",SUMIF(Remplacements!$D$6:$D$255,$A49,Remplacements!$C$6:$C$255))</f>
        <v/>
      </c>
    </row>
    <row r="50" customFormat="false" ht="15" hidden="false" customHeight="true" outlineLevel="0" collapsed="false">
      <c r="A50" s="18" t="str">
        <f aca="false">IF(Listes!A46="","",Listes!A46)</f>
        <v/>
      </c>
      <c r="B50" s="19" t="str">
        <f aca="false">IF($A50="","",SUMIFS(Remplacements!$C$6:$C$255,Remplacements!$E$6:$E$255,$A50,Remplacements!$G$6:$G$255,$B$3))</f>
        <v/>
      </c>
      <c r="C50" s="19" t="str">
        <f aca="false">IF($A50="","",SUMIFS(Remplacements!$C$6:$C$255,Remplacements!$D$6:$D$255,$A50,Remplacements!$G$6:$G$255,$B$3))</f>
        <v/>
      </c>
      <c r="D50" s="20" t="str">
        <f aca="false">IF($A50="","",SUMIF(Remplacements!$E$6:$E$255,$A50,Remplacements!$C$6:$C$255))</f>
        <v/>
      </c>
      <c r="E50" s="20" t="str">
        <f aca="false">IF($A50="","",SUMIF(Remplacements!$D$6:$D$255,$A50,Remplacements!$C$6:$C$255))</f>
        <v/>
      </c>
    </row>
    <row r="51" customFormat="false" ht="15" hidden="false" customHeight="true" outlineLevel="0" collapsed="false">
      <c r="A51" s="21" t="str">
        <f aca="false">IF(Listes!A47="","",Listes!A47)</f>
        <v/>
      </c>
      <c r="B51" s="22" t="str">
        <f aca="false">IF($A51="","",SUMIFS(Remplacements!$C$6:$C$255,Remplacements!$E$6:$E$255,$A51,Remplacements!$G$6:$G$255,$B$3))</f>
        <v/>
      </c>
      <c r="C51" s="22" t="str">
        <f aca="false">IF($A51="","",SUMIFS(Remplacements!$C$6:$C$255,Remplacements!$D$6:$D$255,$A51,Remplacements!$G$6:$G$255,$B$3))</f>
        <v/>
      </c>
      <c r="D51" s="23" t="str">
        <f aca="false">IF($A51="","",SUMIF(Remplacements!$E$6:$E$255,$A51,Remplacements!$C$6:$C$255))</f>
        <v/>
      </c>
      <c r="E51" s="23" t="str">
        <f aca="false">IF($A51="","",SUMIF(Remplacements!$D$6:$D$255,$A51,Remplacements!$C$6:$C$255))</f>
        <v/>
      </c>
    </row>
    <row r="52" customFormat="false" ht="15" hidden="false" customHeight="true" outlineLevel="0" collapsed="false">
      <c r="A52" s="18" t="str">
        <f aca="false">IF(Listes!A48="","",Listes!A48)</f>
        <v/>
      </c>
      <c r="B52" s="19" t="str">
        <f aca="false">IF($A52="","",SUMIFS(Remplacements!$C$6:$C$255,Remplacements!$E$6:$E$255,$A52,Remplacements!$G$6:$G$255,$B$3))</f>
        <v/>
      </c>
      <c r="C52" s="19" t="str">
        <f aca="false">IF($A52="","",SUMIFS(Remplacements!$C$6:$C$255,Remplacements!$D$6:$D$255,$A52,Remplacements!$G$6:$G$255,$B$3))</f>
        <v/>
      </c>
      <c r="D52" s="20" t="str">
        <f aca="false">IF($A52="","",SUMIF(Remplacements!$E$6:$E$255,$A52,Remplacements!$C$6:$C$255))</f>
        <v/>
      </c>
      <c r="E52" s="20" t="str">
        <f aca="false">IF($A52="","",SUMIF(Remplacements!$D$6:$D$255,$A52,Remplacements!$C$6:$C$255))</f>
        <v/>
      </c>
    </row>
    <row r="53" customFormat="false" ht="15" hidden="false" customHeight="true" outlineLevel="0" collapsed="false">
      <c r="A53" s="21" t="str">
        <f aca="false">IF(Listes!A49="","",Listes!A49)</f>
        <v/>
      </c>
      <c r="B53" s="22" t="str">
        <f aca="false">IF($A53="","",SUMIFS(Remplacements!$C$6:$C$255,Remplacements!$E$6:$E$255,$A53,Remplacements!$G$6:$G$255,$B$3))</f>
        <v/>
      </c>
      <c r="C53" s="22" t="str">
        <f aca="false">IF($A53="","",SUMIFS(Remplacements!$C$6:$C$255,Remplacements!$D$6:$D$255,$A53,Remplacements!$G$6:$G$255,$B$3))</f>
        <v/>
      </c>
      <c r="D53" s="23" t="str">
        <f aca="false">IF($A53="","",SUMIF(Remplacements!$E$6:$E$255,$A53,Remplacements!$C$6:$C$255))</f>
        <v/>
      </c>
      <c r="E53" s="23" t="str">
        <f aca="false">IF($A53="","",SUMIF(Remplacements!$D$6:$D$255,$A53,Remplacements!$C$6:$C$255))</f>
        <v/>
      </c>
    </row>
    <row r="54" customFormat="false" ht="15" hidden="false" customHeight="true" outlineLevel="0" collapsed="false">
      <c r="A54" s="18" t="str">
        <f aca="false">IF(Listes!A50="","",Listes!A50)</f>
        <v/>
      </c>
      <c r="B54" s="19" t="str">
        <f aca="false">IF($A54="","",SUMIFS(Remplacements!$C$6:$C$255,Remplacements!$E$6:$E$255,$A54,Remplacements!$G$6:$G$255,$B$3))</f>
        <v/>
      </c>
      <c r="C54" s="19" t="str">
        <f aca="false">IF($A54="","",SUMIFS(Remplacements!$C$6:$C$255,Remplacements!$D$6:$D$255,$A54,Remplacements!$G$6:$G$255,$B$3))</f>
        <v/>
      </c>
      <c r="D54" s="20" t="str">
        <f aca="false">IF($A54="","",SUMIF(Remplacements!$E$6:$E$255,$A54,Remplacements!$C$6:$C$255))</f>
        <v/>
      </c>
      <c r="E54" s="20" t="str">
        <f aca="false">IF($A54="","",SUMIF(Remplacements!$D$6:$D$255,$A54,Remplacements!$C$6:$C$255))</f>
        <v/>
      </c>
    </row>
    <row r="55" customFormat="false" ht="15" hidden="false" customHeight="true" outlineLevel="0" collapsed="false">
      <c r="A55" s="21" t="str">
        <f aca="false">IF(Listes!A51="","",Listes!A51)</f>
        <v/>
      </c>
      <c r="B55" s="22" t="str">
        <f aca="false">IF($A55="","",SUMIFS(Remplacements!$C$6:$C$255,Remplacements!$E$6:$E$255,$A55,Remplacements!$G$6:$G$255,$B$3))</f>
        <v/>
      </c>
      <c r="C55" s="22" t="str">
        <f aca="false">IF($A55="","",SUMIFS(Remplacements!$C$6:$C$255,Remplacements!$D$6:$D$255,$A55,Remplacements!$G$6:$G$255,$B$3))</f>
        <v/>
      </c>
      <c r="D55" s="23" t="str">
        <f aca="false">IF($A55="","",SUMIF(Remplacements!$E$6:$E$255,$A55,Remplacements!$C$6:$C$255))</f>
        <v/>
      </c>
      <c r="E55" s="23" t="str">
        <f aca="false">IF($A55="","",SUMIF(Remplacements!$D$6:$D$255,$A55,Remplacements!$C$6:$C$255))</f>
        <v/>
      </c>
    </row>
    <row r="57" customFormat="false" ht="15" hidden="false" customHeight="false" outlineLevel="0" collapsed="false">
      <c r="A57" s="24" t="s">
        <v>37</v>
      </c>
      <c r="B57" s="25" t="n">
        <f aca="false">SUM(B6:B56)</f>
        <v>0</v>
      </c>
      <c r="C57" s="25" t="n">
        <f aca="false">SUM(C6:C56)</f>
        <v>0</v>
      </c>
      <c r="D57" s="25" t="n">
        <f aca="false">SUM(D6:D56)</f>
        <v>0</v>
      </c>
      <c r="E57" s="25" t="n">
        <f aca="false">SUM(E6:E56)</f>
        <v>0</v>
      </c>
    </row>
    <row r="59" customFormat="false" ht="33.75" hidden="false" customHeight="true" outlineLevel="0" collapsed="false">
      <c r="A59" s="26" t="s">
        <v>38</v>
      </c>
      <c r="B59" s="26"/>
      <c r="C59" s="26"/>
      <c r="D59" s="26"/>
      <c r="E59" s="26"/>
    </row>
  </sheetData>
  <mergeCells count="3">
    <mergeCell ref="A1:E1"/>
    <mergeCell ref="C3:E3"/>
    <mergeCell ref="A59:E59"/>
  </mergeCells>
  <dataValidations count="1">
    <dataValidation allowBlank="false" errorStyle="stop" operator="between" showDropDown="false" showErrorMessage="false" showInputMessage="false" sqref="B3" type="list">
      <formula1>Listes!$C$2:$C$13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27" t="s">
        <v>39</v>
      </c>
      <c r="B1" s="27" t="s">
        <v>40</v>
      </c>
      <c r="C1" s="27" t="s">
        <v>9</v>
      </c>
      <c r="D1" s="27" t="s">
        <v>41</v>
      </c>
    </row>
    <row r="2" customFormat="false" ht="15" hidden="false" customHeight="false" outlineLevel="0" collapsed="false">
      <c r="A2" s="28" t="s">
        <v>42</v>
      </c>
      <c r="B2" s="18" t="s">
        <v>43</v>
      </c>
      <c r="C2" s="18" t="s">
        <v>44</v>
      </c>
      <c r="D2" s="18" t="s">
        <v>45</v>
      </c>
    </row>
    <row r="3" customFormat="false" ht="15" hidden="false" customHeight="false" outlineLevel="0" collapsed="false">
      <c r="A3" s="28" t="s">
        <v>46</v>
      </c>
      <c r="B3" s="18" t="s">
        <v>47</v>
      </c>
      <c r="C3" s="18" t="s">
        <v>48</v>
      </c>
      <c r="D3" s="18" t="s">
        <v>49</v>
      </c>
    </row>
    <row r="4" customFormat="false" ht="15" hidden="false" customHeight="false" outlineLevel="0" collapsed="false">
      <c r="A4" s="28" t="s">
        <v>50</v>
      </c>
      <c r="B4" s="18" t="s">
        <v>51</v>
      </c>
      <c r="C4" s="18" t="s">
        <v>52</v>
      </c>
      <c r="D4" s="18"/>
    </row>
    <row r="5" customFormat="false" ht="15" hidden="false" customHeight="false" outlineLevel="0" collapsed="false">
      <c r="A5" s="28" t="s">
        <v>53</v>
      </c>
      <c r="B5" s="18" t="s">
        <v>54</v>
      </c>
      <c r="C5" s="18" t="s">
        <v>55</v>
      </c>
      <c r="D5" s="18"/>
    </row>
    <row r="6" customFormat="false" ht="15" hidden="false" customHeight="false" outlineLevel="0" collapsed="false">
      <c r="A6" s="28" t="s">
        <v>56</v>
      </c>
      <c r="B6" s="18" t="s">
        <v>57</v>
      </c>
      <c r="C6" s="18" t="s">
        <v>58</v>
      </c>
      <c r="D6" s="18"/>
    </row>
    <row r="7" customFormat="false" ht="15" hidden="false" customHeight="false" outlineLevel="0" collapsed="false">
      <c r="A7" s="28" t="s">
        <v>59</v>
      </c>
      <c r="B7" s="18"/>
      <c r="C7" s="18" t="s">
        <v>60</v>
      </c>
      <c r="D7" s="18"/>
    </row>
    <row r="8" customFormat="false" ht="15" hidden="false" customHeight="false" outlineLevel="0" collapsed="false">
      <c r="A8" s="28" t="s">
        <v>61</v>
      </c>
      <c r="B8" s="18"/>
      <c r="C8" s="18" t="s">
        <v>62</v>
      </c>
      <c r="D8" s="18"/>
    </row>
    <row r="9" customFormat="false" ht="15" hidden="false" customHeight="false" outlineLevel="0" collapsed="false">
      <c r="A9" s="28" t="s">
        <v>63</v>
      </c>
      <c r="B9" s="18"/>
      <c r="C9" s="18" t="s">
        <v>64</v>
      </c>
      <c r="D9" s="18"/>
    </row>
    <row r="10" customFormat="false" ht="15" hidden="false" customHeight="false" outlineLevel="0" collapsed="false">
      <c r="A10" s="28" t="s">
        <v>65</v>
      </c>
      <c r="B10" s="18"/>
      <c r="C10" s="18" t="s">
        <v>66</v>
      </c>
      <c r="D10" s="18"/>
    </row>
    <row r="11" customFormat="false" ht="15" hidden="false" customHeight="false" outlineLevel="0" collapsed="false">
      <c r="A11" s="28" t="s">
        <v>67</v>
      </c>
      <c r="B11" s="18"/>
      <c r="C11" s="18" t="s">
        <v>68</v>
      </c>
      <c r="D11" s="18"/>
    </row>
    <row r="12" customFormat="false" ht="15" hidden="false" customHeight="false" outlineLevel="0" collapsed="false">
      <c r="A12" s="28" t="s">
        <v>69</v>
      </c>
      <c r="B12" s="18"/>
      <c r="C12" s="18" t="s">
        <v>30</v>
      </c>
      <c r="D12" s="18"/>
    </row>
    <row r="13" customFormat="false" ht="15" hidden="false" customHeight="false" outlineLevel="0" collapsed="false">
      <c r="A13" s="28" t="s">
        <v>70</v>
      </c>
      <c r="B13" s="18"/>
      <c r="C13" s="18" t="s">
        <v>71</v>
      </c>
      <c r="D13" s="18"/>
    </row>
    <row r="14" customFormat="false" ht="15" hidden="false" customHeight="false" outlineLevel="0" collapsed="false">
      <c r="A14" s="28" t="s">
        <v>72</v>
      </c>
      <c r="B14" s="18"/>
      <c r="C14" s="18"/>
      <c r="D14" s="18"/>
    </row>
    <row r="15" customFormat="false" ht="15" hidden="false" customHeight="false" outlineLevel="0" collapsed="false">
      <c r="A15" s="28" t="s">
        <v>73</v>
      </c>
      <c r="B15" s="18"/>
      <c r="C15" s="18"/>
      <c r="D15" s="18"/>
    </row>
    <row r="16" customFormat="false" ht="15" hidden="false" customHeight="false" outlineLevel="0" collapsed="false">
      <c r="A16" s="28" t="s">
        <v>74</v>
      </c>
      <c r="B16" s="18"/>
      <c r="C16" s="18"/>
      <c r="D16" s="18"/>
    </row>
    <row r="17" customFormat="false" ht="15" hidden="false" customHeight="false" outlineLevel="0" collapsed="false">
      <c r="A17" s="28" t="s">
        <v>75</v>
      </c>
      <c r="B17" s="18"/>
      <c r="C17" s="18"/>
      <c r="D17" s="18"/>
    </row>
    <row r="18" customFormat="false" ht="15" hidden="false" customHeight="false" outlineLevel="0" collapsed="false">
      <c r="A18" s="28" t="s">
        <v>76</v>
      </c>
      <c r="B18" s="18"/>
      <c r="C18" s="18"/>
      <c r="D18" s="18"/>
    </row>
    <row r="19" customFormat="false" ht="15" hidden="false" customHeight="false" outlineLevel="0" collapsed="false">
      <c r="A19" s="28" t="s">
        <v>77</v>
      </c>
      <c r="B19" s="18"/>
      <c r="C19" s="18"/>
      <c r="D19" s="18"/>
    </row>
    <row r="20" customFormat="false" ht="15" hidden="false" customHeight="false" outlineLevel="0" collapsed="false">
      <c r="A20" s="28" t="s">
        <v>78</v>
      </c>
      <c r="B20" s="18"/>
      <c r="C20" s="18"/>
      <c r="D20" s="18"/>
    </row>
    <row r="21" customFormat="false" ht="15" hidden="false" customHeight="false" outlineLevel="0" collapsed="false">
      <c r="A21" s="28" t="s">
        <v>79</v>
      </c>
      <c r="B21" s="18"/>
      <c r="C21" s="18"/>
      <c r="D21" s="18"/>
    </row>
    <row r="22" customFormat="false" ht="15" hidden="false" customHeight="false" outlineLevel="0" collapsed="false">
      <c r="A22" s="28" t="s">
        <v>80</v>
      </c>
      <c r="B22" s="18"/>
      <c r="C22" s="18"/>
      <c r="D22" s="18"/>
    </row>
    <row r="23" customFormat="false" ht="15" hidden="false" customHeight="false" outlineLevel="0" collapsed="false">
      <c r="A23" s="28" t="s">
        <v>81</v>
      </c>
      <c r="B23" s="18"/>
      <c r="C23" s="18"/>
      <c r="D23" s="18"/>
    </row>
    <row r="24" customFormat="false" ht="15" hidden="false" customHeight="false" outlineLevel="0" collapsed="false">
      <c r="A24" s="28" t="s">
        <v>82</v>
      </c>
      <c r="B24" s="18"/>
      <c r="C24" s="18"/>
      <c r="D24" s="18"/>
    </row>
    <row r="25" customFormat="false" ht="15" hidden="false" customHeight="false" outlineLevel="0" collapsed="false">
      <c r="A25" s="28"/>
      <c r="B25" s="18"/>
      <c r="C25" s="18"/>
      <c r="D25" s="18"/>
    </row>
    <row r="26" customFormat="false" ht="15" hidden="false" customHeight="false" outlineLevel="0" collapsed="false">
      <c r="A26" s="28"/>
      <c r="B26" s="18"/>
      <c r="C26" s="18"/>
      <c r="D26" s="18"/>
    </row>
    <row r="27" customFormat="false" ht="15" hidden="false" customHeight="false" outlineLevel="0" collapsed="false">
      <c r="A27" s="28"/>
      <c r="B27" s="18"/>
      <c r="C27" s="18"/>
      <c r="D27" s="18"/>
    </row>
    <row r="28" customFormat="false" ht="15" hidden="false" customHeight="false" outlineLevel="0" collapsed="false">
      <c r="A28" s="28"/>
      <c r="B28" s="18"/>
      <c r="C28" s="18"/>
      <c r="D28" s="18"/>
    </row>
    <row r="29" customFormat="false" ht="15" hidden="false" customHeight="false" outlineLevel="0" collapsed="false">
      <c r="A29" s="28"/>
      <c r="B29" s="18"/>
      <c r="C29" s="18"/>
      <c r="D29" s="18"/>
    </row>
    <row r="30" customFormat="false" ht="15" hidden="false" customHeight="false" outlineLevel="0" collapsed="false">
      <c r="A30" s="28"/>
      <c r="B30" s="18"/>
      <c r="C30" s="18"/>
      <c r="D30" s="18"/>
    </row>
    <row r="31" customFormat="false" ht="15" hidden="false" customHeight="false" outlineLevel="0" collapsed="false">
      <c r="A31" s="28"/>
      <c r="B31" s="18"/>
      <c r="C31" s="18"/>
      <c r="D31" s="18"/>
    </row>
    <row r="32" customFormat="false" ht="15" hidden="false" customHeight="false" outlineLevel="0" collapsed="false">
      <c r="A32" s="28"/>
      <c r="B32" s="18"/>
      <c r="C32" s="18"/>
      <c r="D32" s="18"/>
    </row>
    <row r="33" customFormat="false" ht="15" hidden="false" customHeight="false" outlineLevel="0" collapsed="false">
      <c r="A33" s="28"/>
      <c r="B33" s="18"/>
      <c r="C33" s="18"/>
      <c r="D33" s="18"/>
    </row>
    <row r="34" customFormat="false" ht="15" hidden="false" customHeight="false" outlineLevel="0" collapsed="false">
      <c r="A34" s="28"/>
      <c r="B34" s="18"/>
      <c r="C34" s="18"/>
      <c r="D34" s="18"/>
    </row>
    <row r="35" customFormat="false" ht="15" hidden="false" customHeight="false" outlineLevel="0" collapsed="false">
      <c r="A35" s="28"/>
      <c r="B35" s="18"/>
      <c r="C35" s="18"/>
      <c r="D35" s="18"/>
    </row>
    <row r="36" customFormat="false" ht="15" hidden="false" customHeight="false" outlineLevel="0" collapsed="false">
      <c r="A36" s="28"/>
      <c r="B36" s="18"/>
      <c r="C36" s="18"/>
      <c r="D36" s="18"/>
    </row>
    <row r="37" customFormat="false" ht="15" hidden="false" customHeight="false" outlineLevel="0" collapsed="false">
      <c r="A37" s="28"/>
      <c r="B37" s="18"/>
      <c r="C37" s="18"/>
      <c r="D37" s="18"/>
    </row>
    <row r="38" customFormat="false" ht="15" hidden="false" customHeight="false" outlineLevel="0" collapsed="false">
      <c r="A38" s="28"/>
      <c r="B38" s="18"/>
      <c r="C38" s="18"/>
      <c r="D38" s="18"/>
    </row>
    <row r="39" customFormat="false" ht="15" hidden="false" customHeight="false" outlineLevel="0" collapsed="false">
      <c r="A39" s="28"/>
      <c r="B39" s="18"/>
      <c r="C39" s="18"/>
      <c r="D39" s="18"/>
    </row>
    <row r="40" customFormat="false" ht="15" hidden="false" customHeight="false" outlineLevel="0" collapsed="false">
      <c r="A40" s="28"/>
      <c r="B40" s="18"/>
      <c r="C40" s="18"/>
      <c r="D40" s="18"/>
    </row>
    <row r="41" customFormat="false" ht="15" hidden="false" customHeight="false" outlineLevel="0" collapsed="false">
      <c r="A41" s="28"/>
      <c r="B41" s="18"/>
      <c r="C41" s="18"/>
      <c r="D41" s="18"/>
    </row>
    <row r="42" customFormat="false" ht="15" hidden="false" customHeight="false" outlineLevel="0" collapsed="false">
      <c r="A42" s="28"/>
      <c r="B42" s="18"/>
      <c r="C42" s="18"/>
      <c r="D42" s="18"/>
    </row>
    <row r="43" customFormat="false" ht="15" hidden="false" customHeight="false" outlineLevel="0" collapsed="false">
      <c r="A43" s="28"/>
      <c r="B43" s="18"/>
      <c r="C43" s="18"/>
      <c r="D43" s="18"/>
    </row>
    <row r="44" customFormat="false" ht="15" hidden="false" customHeight="false" outlineLevel="0" collapsed="false">
      <c r="A44" s="28"/>
      <c r="B44" s="18"/>
      <c r="C44" s="18"/>
      <c r="D44" s="18"/>
    </row>
    <row r="45" customFormat="false" ht="15" hidden="false" customHeight="false" outlineLevel="0" collapsed="false">
      <c r="A45" s="28"/>
      <c r="B45" s="18"/>
      <c r="C45" s="18"/>
      <c r="D45" s="18"/>
    </row>
    <row r="46" customFormat="false" ht="15" hidden="false" customHeight="false" outlineLevel="0" collapsed="false">
      <c r="A46" s="28"/>
      <c r="B46" s="18"/>
      <c r="C46" s="18"/>
      <c r="D46" s="18"/>
    </row>
    <row r="47" customFormat="false" ht="15" hidden="false" customHeight="false" outlineLevel="0" collapsed="false">
      <c r="A47" s="28"/>
      <c r="B47" s="18"/>
      <c r="C47" s="18"/>
      <c r="D47" s="18"/>
    </row>
    <row r="48" customFormat="false" ht="15" hidden="false" customHeight="false" outlineLevel="0" collapsed="false">
      <c r="A48" s="28"/>
      <c r="B48" s="18"/>
      <c r="C48" s="18"/>
      <c r="D48" s="18"/>
    </row>
    <row r="49" customFormat="false" ht="15" hidden="false" customHeight="false" outlineLevel="0" collapsed="false">
      <c r="A49" s="28"/>
      <c r="B49" s="18"/>
      <c r="C49" s="18"/>
      <c r="D49" s="18"/>
    </row>
    <row r="50" customFormat="false" ht="15" hidden="false" customHeight="false" outlineLevel="0" collapsed="false">
      <c r="A50" s="28"/>
      <c r="B50" s="18"/>
      <c r="C50" s="18"/>
      <c r="D50" s="18"/>
    </row>
    <row r="51" customFormat="false" ht="15" hidden="false" customHeight="false" outlineLevel="0" collapsed="false">
      <c r="A51" s="28"/>
      <c r="B51" s="18"/>
      <c r="C51" s="18"/>
      <c r="D51" s="18"/>
    </row>
    <row r="54" customFormat="false" ht="15" hidden="false" customHeight="true" outlineLevel="0" collapsed="false">
      <c r="A54" s="26" t="s">
        <v>83</v>
      </c>
      <c r="B54" s="26"/>
      <c r="C54" s="26"/>
      <c r="D54" s="26"/>
    </row>
    <row r="55" customFormat="false" ht="15" hidden="false" customHeight="false" outlineLevel="0" collapsed="false">
      <c r="A55" s="26"/>
      <c r="B55" s="26"/>
      <c r="C55" s="26"/>
      <c r="D55" s="26"/>
    </row>
  </sheetData>
  <mergeCells count="1">
    <mergeCell ref="A54:D5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2026-09-17T08:05:31Z</dcterms:created>
  <dc:creator>openpyxl</dc:creator>
  <dc:description/>
  <dc:language>en-US</dc:language>
  <cp:lastModifiedBy/>
  <dcterms:modified xsi:type="dcterms:W3CDTF">2026-09-17T08:05:31Z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