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Adultes" sheetId="2" state="visible" r:id="rId2"/>
    <sheet xmlns:r="http://schemas.openxmlformats.org/officeDocument/2006/relationships" name="3-7 ans" sheetId="3" state="visible" r:id="rId3"/>
    <sheet xmlns:r="http://schemas.openxmlformats.org/officeDocument/2006/relationships" name="8-9 ans" sheetId="4" state="visible" r:id="rId4"/>
    <sheet xmlns:r="http://schemas.openxmlformats.org/officeDocument/2006/relationships" name="10-12 ans" sheetId="5" state="visible" r:id="rId5"/>
    <sheet xmlns:r="http://schemas.openxmlformats.org/officeDocument/2006/relationships" name="13-14 ans" sheetId="6" state="visible" r:id="rId6"/>
    <sheet xmlns:r="http://schemas.openxmlformats.org/officeDocument/2006/relationships" name="15-16 ans" sheetId="7" state="visible" r:id="rId7"/>
    <sheet xmlns:r="http://schemas.openxmlformats.org/officeDocument/2006/relationships" name="17-18 ans" sheetId="8" state="visible" r:id="rId8"/>
    <sheet xmlns:r="http://schemas.openxmlformats.org/officeDocument/2006/relationships" name="Age a preciser" sheetId="9" state="visible" r:id="rId9"/>
  </sheets>
  <definedNames>
    <definedName name="_xlnm._FilterDatabase" localSheetId="1" hidden="1">'Adultes'!$A$3:$I$31</definedName>
    <definedName name="_xlnm.Print_Titles" localSheetId="1">'Adultes'!$1:$3</definedName>
    <definedName name="_xlnm._FilterDatabase" localSheetId="2" hidden="1">'3-7 ans'!$A$3:$I$20</definedName>
    <definedName name="_xlnm.Print_Titles" localSheetId="2">'3-7 ans'!$1:$3</definedName>
    <definedName name="_xlnm._FilterDatabase" localSheetId="3" hidden="1">'8-9 ans'!$A$3:$I$9</definedName>
    <definedName name="_xlnm.Print_Titles" localSheetId="3">'8-9 ans'!$1:$3</definedName>
    <definedName name="_xlnm._FilterDatabase" localSheetId="4" hidden="1">'10-12 ans'!$A$3:$I$16</definedName>
    <definedName name="_xlnm.Print_Titles" localSheetId="4">'10-12 ans'!$1:$3</definedName>
    <definedName name="_xlnm._FilterDatabase" localSheetId="5" hidden="1">'13-14 ans'!$A$3:$I$7</definedName>
    <definedName name="_xlnm.Print_Titles" localSheetId="5">'13-14 ans'!$1:$3</definedName>
    <definedName name="_xlnm._FilterDatabase" localSheetId="6" hidden="1">'15-16 ans'!$A$3:$I$8</definedName>
    <definedName name="_xlnm.Print_Titles" localSheetId="6">'15-16 ans'!$1:$3</definedName>
    <definedName name="_xlnm._FilterDatabase" localSheetId="7" hidden="1">'17-18 ans'!$A$3:$I$4</definedName>
    <definedName name="_xlnm.Print_Titles" localSheetId="7">'17-18 ans'!$1:$3</definedName>
    <definedName name="_xlnm._FilterDatabase" localSheetId="8" hidden="1">'Age a preciser'!$A$3:$I$10</definedName>
    <definedName name="_xlnm.Print_Titles" localSheetId="8">'Age a preciser'!$1:$3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0">
    <font>
      <name val="Calibri"/>
      <family val="2"/>
      <color theme="1"/>
      <sz val="11"/>
      <scheme val="minor"/>
    </font>
    <font>
      <name val="Arial"/>
      <b val="1"/>
      <color rgb="FF1F3864"/>
      <sz val="16"/>
    </font>
    <font>
      <name val="Arial"/>
      <color rgb="FF595959"/>
      <sz val="11"/>
    </font>
    <font>
      <name val="Arial"/>
      <b val="1"/>
      <color rgb="FF1F3864"/>
      <sz val="11"/>
    </font>
    <font>
      <name val="Arial"/>
      <sz val="10"/>
    </font>
    <font>
      <name val="Arial"/>
      <b val="1"/>
      <color rgb="FF2E5C3E"/>
      <sz val="12"/>
    </font>
    <font>
      <name val="Arial"/>
      <b val="1"/>
      <color rgb="FFFFFFFF"/>
      <sz val="10"/>
    </font>
    <font>
      <name val="Arial"/>
      <b val="1"/>
      <sz val="10"/>
    </font>
    <font>
      <name val="Arial"/>
      <b val="1"/>
      <color rgb="FF1F3864"/>
      <sz val="13"/>
    </font>
    <font>
      <name val="Arial"/>
      <i val="1"/>
      <color rgb="FF767171"/>
      <sz val="9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1F3864"/>
      </top>
      <bottom style="thin">
        <color rgb="FF1F3864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2" pivotButton="0" quotePrefix="0" xfId="0"/>
    <xf numFmtId="0" fontId="4" fillId="0" borderId="2" applyAlignment="1" pivotButton="0" quotePrefix="0" xfId="0">
      <alignment horizontal="center"/>
    </xf>
    <xf numFmtId="0" fontId="7" fillId="3" borderId="3" pivotButton="0" quotePrefix="0" xfId="0"/>
    <xf numFmtId="0" fontId="7" fillId="3" borderId="3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4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 wrapText="1"/>
    </xf>
    <xf numFmtId="165" fontId="4" fillId="0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 wrapText="1"/>
    </xf>
    <xf numFmtId="165" fontId="4" fillId="4" borderId="2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name val="Arial"/>
        <color rgb="FF006100"/>
        <sz val="10"/>
      </font>
      <fill>
        <patternFill patternType="solid">
          <fgColor rgb="FFC6EFCE"/>
        </patternFill>
      </fill>
    </dxf>
    <dxf>
      <font>
        <name val="Arial"/>
        <color rgb="FF808080"/>
        <sz val="10"/>
      </font>
      <fill>
        <patternFill patternType="solid">
          <fgColor rgb="FFE7E6E6"/>
        </patternFill>
      </fill>
    </dxf>
    <dxf>
      <font>
        <name val="Arial"/>
        <color rgb="FF7F6000"/>
        <sz val="10"/>
      </font>
      <fill>
        <patternFill patternType="solid">
          <fgColor rgb="FF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12" customWidth="1" min="4" max="4"/>
    <col width="10" customWidth="1" min="5" max="5"/>
    <col width="10" customWidth="1" min="6" max="6"/>
    <col width="14" customWidth="1" min="7" max="7"/>
  </cols>
  <sheetData>
    <row r="1">
      <c r="A1" s="1" t="inlineStr">
        <is>
          <t>LISTE D'ATTENTE — ÉCOLE DE TENNIS</t>
        </is>
      </c>
    </row>
    <row r="2">
      <c r="A2" s="2" t="inlineStr">
        <is>
          <t>Cycle de cours 2026 - 2027</t>
        </is>
      </c>
    </row>
    <row r="4">
      <c r="A4" s="3" t="inlineStr">
        <is>
          <t>Comment utiliser ce classeur</t>
        </is>
      </c>
    </row>
    <row r="5">
      <c r="A5" s="4" t="inlineStr">
        <is>
          <t>•  Un onglet par tranche d'âge. Chaque liste est déjà triée par date de demande : les premiers arrivés en haut.</t>
        </is>
      </c>
    </row>
    <row r="6">
      <c r="A6" s="4" t="inlineStr">
        <is>
          <t>•  Colonne « Statut » : menu déroulant (En attente / Contacté / Inscrit / Désisté / Sans réponse). Les lignes se colorent automatiquement.</t>
        </is>
      </c>
    </row>
    <row r="7">
      <c r="A7" s="4" t="inlineStr">
        <is>
          <t>•  Colonne « Notes de suivi » : libre, pour vos annotations au fil des appels.</t>
        </is>
      </c>
    </row>
    <row r="8">
      <c r="A8" s="4" t="inlineStr">
        <is>
          <t>•  Les filtres sont actifs sur chaque onglet : cliquez sur une flèche d'en-tête pour trier ou filtrer (par niveau, par statut…).</t>
        </is>
      </c>
    </row>
    <row r="9">
      <c r="A9" s="4" t="inlineStr">
        <is>
          <t>•  Date de demande vide = demande non datée sur la feuille manuscrite (voir la colonne Remarques).</t>
        </is>
      </c>
    </row>
    <row r="10">
      <c r="A10" s="4" t="inlineStr">
        <is>
          <t>•  L'âge indiqué est l'âge atteint en 2026 (2026 − année de naissance), pour correspondre au cycle 2026-2027.</t>
        </is>
      </c>
    </row>
    <row r="11">
      <c r="A11" s="4" t="inlineStr">
        <is>
          <t>•  Les noms suivis de « (?) » sont difficilement lisibles sur les feuilles : à vérifier avant tout contact.</t>
        </is>
      </c>
    </row>
    <row r="12">
      <c r="A12" s="4" t="inlineStr">
        <is>
          <t>•  Les compteurs ci-dessous se recalculent tout seuls quand vous modifiez les onglets.</t>
        </is>
      </c>
    </row>
    <row r="14">
      <c r="A14" s="5" t="inlineStr">
        <is>
          <t>Synthèse par tranche d'âge</t>
        </is>
      </c>
    </row>
    <row r="15">
      <c r="A15" s="6" t="inlineStr">
        <is>
          <t>Tranche d'âge</t>
        </is>
      </c>
      <c r="B15" s="6" t="inlineStr">
        <is>
          <t>Total</t>
        </is>
      </c>
      <c r="C15" s="6" t="inlineStr">
        <is>
          <t>En attente</t>
        </is>
      </c>
      <c r="D15" s="6" t="inlineStr">
        <is>
          <t>Contacté</t>
        </is>
      </c>
      <c r="E15" s="6" t="inlineStr">
        <is>
          <t>Inscrit</t>
        </is>
      </c>
      <c r="F15" s="6" t="inlineStr">
        <is>
          <t>Désisté</t>
        </is>
      </c>
      <c r="G15" s="6" t="inlineStr">
        <is>
          <t>Sans réponse</t>
        </is>
      </c>
    </row>
    <row r="16">
      <c r="A16" s="7" t="inlineStr">
        <is>
          <t>ADULTES</t>
        </is>
      </c>
      <c r="B16" s="8">
        <f>COUNTA('Adultes'!$B$4:$B$71)</f>
        <v/>
      </c>
      <c r="C16" s="8">
        <f>COUNTIF('Adultes'!$H$4:$H$71,"En attente")</f>
        <v/>
      </c>
      <c r="D16" s="8">
        <f>COUNTIF('Adultes'!$H$4:$H$71,"Contacté")</f>
        <v/>
      </c>
      <c r="E16" s="8">
        <f>COUNTIF('Adultes'!$H$4:$H$71,"Inscrit")</f>
        <v/>
      </c>
      <c r="F16" s="8">
        <f>COUNTIF('Adultes'!$H$4:$H$71,"Désisté")</f>
        <v/>
      </c>
      <c r="G16" s="8">
        <f>COUNTIF('Adultes'!$H$4:$H$71,"Sans réponse")</f>
        <v/>
      </c>
    </row>
    <row r="17">
      <c r="A17" s="7" t="inlineStr">
        <is>
          <t>ENFANTS 3 à 7 ans</t>
        </is>
      </c>
      <c r="B17" s="8">
        <f>COUNTA('3-7 ans'!$B$4:$B$60)</f>
        <v/>
      </c>
      <c r="C17" s="8">
        <f>COUNTIF('3-7 ans'!$H$4:$H$60,"En attente")</f>
        <v/>
      </c>
      <c r="D17" s="8">
        <f>COUNTIF('3-7 ans'!$H$4:$H$60,"Contacté")</f>
        <v/>
      </c>
      <c r="E17" s="8">
        <f>COUNTIF('3-7 ans'!$H$4:$H$60,"Inscrit")</f>
        <v/>
      </c>
      <c r="F17" s="8">
        <f>COUNTIF('3-7 ans'!$H$4:$H$60,"Désisté")</f>
        <v/>
      </c>
      <c r="G17" s="8">
        <f>COUNTIF('3-7 ans'!$H$4:$H$60,"Sans réponse")</f>
        <v/>
      </c>
    </row>
    <row r="18">
      <c r="A18" s="7" t="inlineStr">
        <is>
          <t>ENFANTS 8 à 9 ans</t>
        </is>
      </c>
      <c r="B18" s="8">
        <f>COUNTA('8-9 ans'!$B$4:$B$49)</f>
        <v/>
      </c>
      <c r="C18" s="8">
        <f>COUNTIF('8-9 ans'!$H$4:$H$49,"En attente")</f>
        <v/>
      </c>
      <c r="D18" s="8">
        <f>COUNTIF('8-9 ans'!$H$4:$H$49,"Contacté")</f>
        <v/>
      </c>
      <c r="E18" s="8">
        <f>COUNTIF('8-9 ans'!$H$4:$H$49,"Inscrit")</f>
        <v/>
      </c>
      <c r="F18" s="8">
        <f>COUNTIF('8-9 ans'!$H$4:$H$49,"Désisté")</f>
        <v/>
      </c>
      <c r="G18" s="8">
        <f>COUNTIF('8-9 ans'!$H$4:$H$49,"Sans réponse")</f>
        <v/>
      </c>
    </row>
    <row r="19">
      <c r="A19" s="7" t="inlineStr">
        <is>
          <t>ENFANTS 10 à 12 ans</t>
        </is>
      </c>
      <c r="B19" s="8">
        <f>COUNTA('10-12 ans'!$B$4:$B$56)</f>
        <v/>
      </c>
      <c r="C19" s="8">
        <f>COUNTIF('10-12 ans'!$H$4:$H$56,"En attente")</f>
        <v/>
      </c>
      <c r="D19" s="8">
        <f>COUNTIF('10-12 ans'!$H$4:$H$56,"Contacté")</f>
        <v/>
      </c>
      <c r="E19" s="8">
        <f>COUNTIF('10-12 ans'!$H$4:$H$56,"Inscrit")</f>
        <v/>
      </c>
      <c r="F19" s="8">
        <f>COUNTIF('10-12 ans'!$H$4:$H$56,"Désisté")</f>
        <v/>
      </c>
      <c r="G19" s="8">
        <f>COUNTIF('10-12 ans'!$H$4:$H$56,"Sans réponse")</f>
        <v/>
      </c>
    </row>
    <row r="20">
      <c r="A20" s="7" t="inlineStr">
        <is>
          <t>JEUNES 13 à 14 ans</t>
        </is>
      </c>
      <c r="B20" s="8">
        <f>COUNTA('13-14 ans'!$B$4:$B$47)</f>
        <v/>
      </c>
      <c r="C20" s="8">
        <f>COUNTIF('13-14 ans'!$H$4:$H$47,"En attente")</f>
        <v/>
      </c>
      <c r="D20" s="8">
        <f>COUNTIF('13-14 ans'!$H$4:$H$47,"Contacté")</f>
        <v/>
      </c>
      <c r="E20" s="8">
        <f>COUNTIF('13-14 ans'!$H$4:$H$47,"Inscrit")</f>
        <v/>
      </c>
      <c r="F20" s="8">
        <f>COUNTIF('13-14 ans'!$H$4:$H$47,"Désisté")</f>
        <v/>
      </c>
      <c r="G20" s="8">
        <f>COUNTIF('13-14 ans'!$H$4:$H$47,"Sans réponse")</f>
        <v/>
      </c>
    </row>
    <row r="21">
      <c r="A21" s="7" t="inlineStr">
        <is>
          <t>JEUNES 15 à 16 ans</t>
        </is>
      </c>
      <c r="B21" s="8">
        <f>COUNTA('15-16 ans'!$B$4:$B$48)</f>
        <v/>
      </c>
      <c r="C21" s="8">
        <f>COUNTIF('15-16 ans'!$H$4:$H$48,"En attente")</f>
        <v/>
      </c>
      <c r="D21" s="8">
        <f>COUNTIF('15-16 ans'!$H$4:$H$48,"Contacté")</f>
        <v/>
      </c>
      <c r="E21" s="8">
        <f>COUNTIF('15-16 ans'!$H$4:$H$48,"Inscrit")</f>
        <v/>
      </c>
      <c r="F21" s="8">
        <f>COUNTIF('15-16 ans'!$H$4:$H$48,"Désisté")</f>
        <v/>
      </c>
      <c r="G21" s="8">
        <f>COUNTIF('15-16 ans'!$H$4:$H$48,"Sans réponse")</f>
        <v/>
      </c>
    </row>
    <row r="22">
      <c r="A22" s="7" t="inlineStr">
        <is>
          <t>JEUNES 17 à 18 ans</t>
        </is>
      </c>
      <c r="B22" s="8">
        <f>COUNTA('17-18 ans'!$B$4:$B$44)</f>
        <v/>
      </c>
      <c r="C22" s="8">
        <f>COUNTIF('17-18 ans'!$H$4:$H$44,"En attente")</f>
        <v/>
      </c>
      <c r="D22" s="8">
        <f>COUNTIF('17-18 ans'!$H$4:$H$44,"Contacté")</f>
        <v/>
      </c>
      <c r="E22" s="8">
        <f>COUNTIF('17-18 ans'!$H$4:$H$44,"Inscrit")</f>
        <v/>
      </c>
      <c r="F22" s="8">
        <f>COUNTIF('17-18 ans'!$H$4:$H$44,"Désisté")</f>
        <v/>
      </c>
      <c r="G22" s="8">
        <f>COUNTIF('17-18 ans'!$H$4:$H$44,"Sans réponse")</f>
        <v/>
      </c>
    </row>
    <row r="23">
      <c r="A23" s="7" t="inlineStr">
        <is>
          <t>ÂGE À PRÉCISER</t>
        </is>
      </c>
      <c r="B23" s="8">
        <f>COUNTA('Age a preciser'!$B$4:$B$50)</f>
        <v/>
      </c>
      <c r="C23" s="8">
        <f>COUNTIF('Age a preciser'!$H$4:$H$50,"En attente")</f>
        <v/>
      </c>
      <c r="D23" s="8">
        <f>COUNTIF('Age a preciser'!$H$4:$H$50,"Contacté")</f>
        <v/>
      </c>
      <c r="E23" s="8">
        <f>COUNTIF('Age a preciser'!$H$4:$H$50,"Inscrit")</f>
        <v/>
      </c>
      <c r="F23" s="8">
        <f>COUNTIF('Age a preciser'!$H$4:$H$50,"Désisté")</f>
        <v/>
      </c>
      <c r="G23" s="8">
        <f>COUNTIF('Age a preciser'!$H$4:$H$50,"Sans réponse")</f>
        <v/>
      </c>
    </row>
    <row r="24">
      <c r="A24" s="9" t="inlineStr">
        <is>
          <t>TOTAL</t>
        </is>
      </c>
      <c r="B24" s="10">
        <f>SUM(B16:B23)</f>
        <v/>
      </c>
      <c r="C24" s="10">
        <f>SUM(C16:C23)</f>
        <v/>
      </c>
      <c r="D24" s="10">
        <f>SUM(D16:D23)</f>
        <v/>
      </c>
      <c r="E24" s="10">
        <f>SUM(E16:E23)</f>
        <v/>
      </c>
      <c r="F24" s="10">
        <f>SUM(F16:F23)</f>
        <v/>
      </c>
      <c r="G24" s="10">
        <f>SUM(G16:G23)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2" customWidth="1" min="3" max="3"/>
    <col width="42" customWidth="1" min="4" max="4"/>
    <col width="28" customWidth="1" min="5" max="5"/>
    <col width="14" customWidth="1" min="6" max="6"/>
    <col width="44" customWidth="1" min="7" max="7"/>
    <col width="14" customWidth="1" min="8" max="8"/>
    <col width="28" customWidth="1" min="9" max="9"/>
  </cols>
  <sheetData>
    <row r="1">
      <c r="A1" s="11" t="inlineStr">
        <is>
          <t>Liste d'attente — ADULTES</t>
        </is>
      </c>
    </row>
    <row r="2">
      <c r="A2" s="12" t="inlineStr">
        <is>
          <t>Cycle 2026-2027 — 28 demande(s) — classées par date de demande</t>
        </is>
      </c>
    </row>
    <row r="3" ht="30" customHeight="1">
      <c r="A3" s="6" t="inlineStr">
        <is>
          <t>N°</t>
        </is>
      </c>
      <c r="B3" s="6" t="inlineStr">
        <is>
          <t>Nom</t>
        </is>
      </c>
      <c r="C3" s="6" t="inlineStr">
        <is>
          <t>Âge / naissance</t>
        </is>
      </c>
      <c r="D3" s="6" t="inlineStr">
        <is>
          <t>Disponibilités</t>
        </is>
      </c>
      <c r="E3" s="6" t="inlineStr">
        <is>
          <t>Niveau</t>
        </is>
      </c>
      <c r="F3" s="6" t="inlineStr">
        <is>
          <t>Date demande</t>
        </is>
      </c>
      <c r="G3" s="6" t="inlineStr">
        <is>
          <t>Remarques</t>
        </is>
      </c>
      <c r="H3" s="6" t="inlineStr">
        <is>
          <t>Statut</t>
        </is>
      </c>
      <c r="I3" s="6" t="inlineStr">
        <is>
          <t>Notes de suivi</t>
        </is>
      </c>
    </row>
    <row r="4" ht="30" customHeight="1">
      <c r="A4" s="13" t="n">
        <v>1</v>
      </c>
      <c r="B4" s="14" t="inlineStr">
        <is>
          <t>DEGIMBE Jeanne</t>
        </is>
      </c>
      <c r="C4" s="15" t="inlineStr">
        <is>
          <t>Adulte</t>
        </is>
      </c>
      <c r="D4" s="16" t="n"/>
      <c r="E4" s="16" t="inlineStr">
        <is>
          <t>Débutante</t>
        </is>
      </c>
      <c r="F4" s="17" t="n">
        <v>46171</v>
      </c>
      <c r="G4" s="16" t="inlineStr">
        <is>
          <t>0470 25 49 25 — jeanne.degimbe@hotmail.be</t>
        </is>
      </c>
      <c r="H4" s="13" t="inlineStr">
        <is>
          <t>En attente</t>
        </is>
      </c>
      <c r="I4" s="16" t="n"/>
    </row>
    <row r="5" ht="30" customHeight="1">
      <c r="A5" s="18" t="n">
        <v>2</v>
      </c>
      <c r="B5" s="19" t="inlineStr">
        <is>
          <t>GOSSET Tesse</t>
        </is>
      </c>
      <c r="C5" s="20" t="inlineStr">
        <is>
          <t>Adulte</t>
        </is>
      </c>
      <c r="D5" s="21" t="n"/>
      <c r="E5" s="21" t="inlineStr">
        <is>
          <t>Débutante</t>
        </is>
      </c>
      <c r="F5" s="22" t="n">
        <v>46171</v>
      </c>
      <c r="G5" s="21" t="inlineStr">
        <is>
          <t>0485 28 48 83 — tess.gosset@outlook.be</t>
        </is>
      </c>
      <c r="H5" s="18" t="inlineStr">
        <is>
          <t>En attente</t>
        </is>
      </c>
      <c r="I5" s="21" t="n"/>
    </row>
    <row r="6" ht="30" customHeight="1">
      <c r="A6" s="13" t="n">
        <v>3</v>
      </c>
      <c r="B6" s="14" t="inlineStr">
        <is>
          <t>ALISHEVA Aynur</t>
        </is>
      </c>
      <c r="C6" s="15" t="inlineStr">
        <is>
          <t>Adulte</t>
        </is>
      </c>
      <c r="D6" s="16" t="inlineStr">
        <is>
          <t>De préférence le mercredi</t>
        </is>
      </c>
      <c r="E6" s="16" t="inlineStr">
        <is>
          <t>Débutante</t>
        </is>
      </c>
      <c r="F6" s="17" t="n">
        <v>46171</v>
      </c>
      <c r="G6" s="16" t="inlineStr">
        <is>
          <t>0489 41 81 79 — aynuralisheva@gmail.com</t>
        </is>
      </c>
      <c r="H6" s="13" t="inlineStr">
        <is>
          <t>En attente</t>
        </is>
      </c>
      <c r="I6" s="16" t="n"/>
    </row>
    <row r="7" ht="30" customHeight="1">
      <c r="A7" s="18" t="n">
        <v>4</v>
      </c>
      <c r="B7" s="19" t="inlineStr">
        <is>
          <t>BORCHARDT Marine</t>
        </is>
      </c>
      <c r="C7" s="20" t="inlineStr">
        <is>
          <t>Adulte</t>
        </is>
      </c>
      <c r="D7" s="21" t="inlineStr">
        <is>
          <t>Lundi, mardi, mercredi après 20h</t>
        </is>
      </c>
      <c r="E7" s="21" t="inlineStr">
        <is>
          <t>C30.5</t>
        </is>
      </c>
      <c r="F7" s="22" t="n">
        <v>46195</v>
      </c>
      <c r="G7" s="21" t="n"/>
      <c r="H7" s="18" t="inlineStr">
        <is>
          <t>En attente</t>
        </is>
      </c>
      <c r="I7" s="21" t="n"/>
    </row>
    <row r="8" ht="30" customHeight="1">
      <c r="A8" s="13" t="n">
        <v>5</v>
      </c>
      <c r="B8" s="14" t="inlineStr">
        <is>
          <t>BILK Karin</t>
        </is>
      </c>
      <c r="C8" s="15" t="inlineStr">
        <is>
          <t>Adulte</t>
        </is>
      </c>
      <c r="D8" s="16" t="inlineStr">
        <is>
          <t>Tous les soirs, de préf. mercredi ou jeudi</t>
        </is>
      </c>
      <c r="E8" s="16" t="inlineStr">
        <is>
          <t>Non précisé</t>
        </is>
      </c>
      <c r="F8" s="17" t="n">
        <v>46209</v>
      </c>
      <c r="G8" s="16" t="n"/>
      <c r="H8" s="13" t="inlineStr">
        <is>
          <t>En attente</t>
        </is>
      </c>
      <c r="I8" s="16" t="n"/>
    </row>
    <row r="9" ht="30" customHeight="1">
      <c r="A9" s="18" t="n">
        <v>6</v>
      </c>
      <c r="B9" s="19" t="inlineStr">
        <is>
          <t>FONTARA Alessandro</t>
        </is>
      </c>
      <c r="C9" s="20" t="inlineStr">
        <is>
          <t>Adulte</t>
        </is>
      </c>
      <c r="D9" s="21" t="inlineStr">
        <is>
          <t>Du lundi au jeudi, en soirée</t>
        </is>
      </c>
      <c r="E9" s="21" t="inlineStr">
        <is>
          <t>Intermédiaire</t>
        </is>
      </c>
      <c r="F9" s="22" t="n">
        <v>46223</v>
      </c>
      <c r="G9" s="21" t="n"/>
      <c r="H9" s="18" t="inlineStr">
        <is>
          <t>En attente</t>
        </is>
      </c>
      <c r="I9" s="21" t="n"/>
    </row>
    <row r="10" ht="30" customHeight="1">
      <c r="A10" s="13" t="n">
        <v>7</v>
      </c>
      <c r="B10" s="14" t="inlineStr">
        <is>
          <t>LE RAY Camille</t>
        </is>
      </c>
      <c r="C10" s="15" t="inlineStr">
        <is>
          <t>Adulte</t>
        </is>
      </c>
      <c r="D10" s="16" t="inlineStr">
        <is>
          <t>Soirées après 19h</t>
        </is>
      </c>
      <c r="E10" s="16" t="inlineStr">
        <is>
          <t>Intermédiaire</t>
        </is>
      </c>
      <c r="F10" s="17" t="n">
        <v>46223</v>
      </c>
      <c r="G10" s="16" t="n"/>
      <c r="H10" s="13" t="inlineStr">
        <is>
          <t>En attente</t>
        </is>
      </c>
      <c r="I10" s="16" t="n"/>
    </row>
    <row r="11" ht="30" customHeight="1">
      <c r="A11" s="18" t="n">
        <v>8</v>
      </c>
      <c r="B11" s="19" t="inlineStr">
        <is>
          <t>SIMROUET Florine (?)</t>
        </is>
      </c>
      <c r="C11" s="20" t="inlineStr">
        <is>
          <t>Adulte</t>
        </is>
      </c>
      <c r="D11" s="21" t="inlineStr">
        <is>
          <t>Après 17h30</t>
        </is>
      </c>
      <c r="E11" s="21" t="inlineStr">
        <is>
          <t>1 an de tennis</t>
        </is>
      </c>
      <c r="F11" s="22" t="n">
        <v>46224</v>
      </c>
      <c r="G11" s="21" t="inlineStr">
        <is>
          <t>Nom de famille à confirmer</t>
        </is>
      </c>
      <c r="H11" s="18" t="inlineStr">
        <is>
          <t>En attente</t>
        </is>
      </c>
      <c r="I11" s="21" t="n"/>
    </row>
    <row r="12" ht="30" customHeight="1">
      <c r="A12" s="13" t="n">
        <v>9</v>
      </c>
      <c r="B12" s="14" t="inlineStr">
        <is>
          <t>LOPIAN Arthur (+ 1 ami)</t>
        </is>
      </c>
      <c r="C12" s="15" t="inlineStr">
        <is>
          <t>Adulte</t>
        </is>
      </c>
      <c r="D12" s="16" t="inlineStr">
        <is>
          <t>Lundi soir</t>
        </is>
      </c>
      <c r="E12" s="16" t="inlineStr">
        <is>
          <t>Non précisé</t>
        </is>
      </c>
      <c r="F12" s="17" t="n">
        <v>46226</v>
      </c>
      <c r="G12" s="16" t="inlineStr">
        <is>
          <t>2 personnes</t>
        </is>
      </c>
      <c r="H12" s="13" t="inlineStr">
        <is>
          <t>En attente</t>
        </is>
      </c>
      <c r="I12" s="16" t="n"/>
    </row>
    <row r="13" ht="30" customHeight="1">
      <c r="A13" s="18" t="n">
        <v>10</v>
      </c>
      <c r="B13" s="19" t="inlineStr">
        <is>
          <t>KHENNOUS Halina</t>
        </is>
      </c>
      <c r="C13" s="20" t="inlineStr">
        <is>
          <t>Adulte</t>
        </is>
      </c>
      <c r="D13" s="21" t="inlineStr">
        <is>
          <t>En soirée</t>
        </is>
      </c>
      <c r="E13" s="21" t="inlineStr">
        <is>
          <t>Non précisé</t>
        </is>
      </c>
      <c r="F13" s="22" t="n">
        <v>46226</v>
      </c>
      <c r="G13" s="21" t="n"/>
      <c r="H13" s="18" t="inlineStr">
        <is>
          <t>En attente</t>
        </is>
      </c>
      <c r="I13" s="21" t="n"/>
    </row>
    <row r="14" ht="30" customHeight="1">
      <c r="A14" s="13" t="n">
        <v>11</v>
      </c>
      <c r="B14" s="14" t="inlineStr">
        <is>
          <t>COLLIENNE Nora</t>
        </is>
      </c>
      <c r="C14" s="15" t="inlineStr">
        <is>
          <t>Adulte</t>
        </is>
      </c>
      <c r="D14" s="16" t="inlineStr">
        <is>
          <t>En semaine, en soirée</t>
        </is>
      </c>
      <c r="E14" s="16" t="inlineStr">
        <is>
          <t>Intermédiaire</t>
        </is>
      </c>
      <c r="F14" s="17" t="n">
        <v>46231</v>
      </c>
      <c r="G14" s="16" t="n"/>
      <c r="H14" s="13" t="inlineStr">
        <is>
          <t>En attente</t>
        </is>
      </c>
      <c r="I14" s="16" t="n"/>
    </row>
    <row r="15" ht="30" customHeight="1">
      <c r="A15" s="18" t="n">
        <v>12</v>
      </c>
      <c r="B15" s="19" t="inlineStr">
        <is>
          <t>VYTTERS Clémence (?)</t>
        </is>
      </c>
      <c r="C15" s="20" t="inlineStr">
        <is>
          <t>Adulte</t>
        </is>
      </c>
      <c r="D15" s="21" t="inlineStr">
        <is>
          <t>En soirée ou le week-end</t>
        </is>
      </c>
      <c r="E15" s="21" t="inlineStr">
        <is>
          <t>Intermédiaire</t>
        </is>
      </c>
      <c r="F15" s="22" t="n">
        <v>46241</v>
      </c>
      <c r="G15" s="21" t="n"/>
      <c r="H15" s="18" t="inlineStr">
        <is>
          <t>En attente</t>
        </is>
      </c>
      <c r="I15" s="21" t="n"/>
    </row>
    <row r="16" ht="30" customHeight="1">
      <c r="A16" s="13" t="n">
        <v>13</v>
      </c>
      <c r="B16" s="14" t="inlineStr">
        <is>
          <t>EMISON Béatrice (?)</t>
        </is>
      </c>
      <c r="C16" s="15" t="inlineStr">
        <is>
          <t>Adulte</t>
        </is>
      </c>
      <c r="D16" s="16" t="n"/>
      <c r="E16" s="16" t="inlineStr">
        <is>
          <t>Intermédiaire</t>
        </is>
      </c>
      <c r="F16" s="17" t="n">
        <v>46254</v>
      </c>
      <c r="G16" s="16" t="inlineStr">
        <is>
          <t>Ancienne joueuse « carpet »</t>
        </is>
      </c>
      <c r="H16" s="13" t="inlineStr">
        <is>
          <t>En attente</t>
        </is>
      </c>
      <c r="I16" s="16" t="n"/>
    </row>
    <row r="17" ht="30" customHeight="1">
      <c r="A17" s="18" t="n">
        <v>14</v>
      </c>
      <c r="B17" s="19" t="inlineStr">
        <is>
          <t>B'JAGOU Safae (?)</t>
        </is>
      </c>
      <c r="C17" s="20" t="inlineStr">
        <is>
          <t>Adulte</t>
        </is>
      </c>
      <c r="D17" s="21" t="inlineStr">
        <is>
          <t>En soirée</t>
        </is>
      </c>
      <c r="E17" s="21" t="inlineStr">
        <is>
          <t>Intermédiaire</t>
        </is>
      </c>
      <c r="F17" s="22" t="n">
        <v>46255</v>
      </c>
      <c r="G17" s="21" t="n"/>
      <c r="H17" s="18" t="inlineStr">
        <is>
          <t>En attente</t>
        </is>
      </c>
      <c r="I17" s="21" t="n"/>
    </row>
    <row r="18" ht="30" customHeight="1">
      <c r="A18" s="13" t="n">
        <v>15</v>
      </c>
      <c r="B18" s="14" t="inlineStr">
        <is>
          <t>BAILLEUL Marc</t>
        </is>
      </c>
      <c r="C18" s="15" t="inlineStr">
        <is>
          <t>49 ans</t>
        </is>
      </c>
      <c r="D18" s="16" t="inlineStr">
        <is>
          <t>Après 17h</t>
        </is>
      </c>
      <c r="E18" s="16" t="inlineStr">
        <is>
          <t>Non précisé</t>
        </is>
      </c>
      <c r="F18" s="17" t="n">
        <v>46259</v>
      </c>
      <c r="G18" s="16" t="n"/>
      <c r="H18" s="13" t="inlineStr">
        <is>
          <t>En attente</t>
        </is>
      </c>
      <c r="I18" s="16" t="n"/>
    </row>
    <row r="19" ht="30" customHeight="1">
      <c r="A19" s="18" t="n">
        <v>16</v>
      </c>
      <c r="B19" s="19" t="inlineStr">
        <is>
          <t>DEBATIS Alice</t>
        </is>
      </c>
      <c r="C19" s="20" t="inlineStr">
        <is>
          <t>Adulte</t>
        </is>
      </c>
      <c r="D19" s="21" t="inlineStr">
        <is>
          <t>Vendredi midi</t>
        </is>
      </c>
      <c r="E19" s="21" t="inlineStr">
        <is>
          <t>Débutante</t>
        </is>
      </c>
      <c r="F19" s="22" t="n">
        <v>46265</v>
      </c>
      <c r="G19" s="21" t="n"/>
      <c r="H19" s="18" t="inlineStr">
        <is>
          <t>En attente</t>
        </is>
      </c>
      <c r="I19" s="21" t="n"/>
    </row>
    <row r="20" ht="30" customHeight="1">
      <c r="A20" s="13" t="n">
        <v>17</v>
      </c>
      <c r="B20" s="14" t="inlineStr">
        <is>
          <t>LAMBRECHT Thibaut</t>
        </is>
      </c>
      <c r="C20" s="15" t="inlineStr">
        <is>
          <t>Adulte</t>
        </is>
      </c>
      <c r="D20" s="16" t="inlineStr">
        <is>
          <t>En soirée</t>
        </is>
      </c>
      <c r="E20" s="16" t="inlineStr">
        <is>
          <t>Intermédiaire</t>
        </is>
      </c>
      <c r="F20" s="17" t="n">
        <v>46265</v>
      </c>
      <c r="G20" s="16" t="n"/>
      <c r="H20" s="13" t="inlineStr">
        <is>
          <t>En attente</t>
        </is>
      </c>
      <c r="I20" s="16" t="n"/>
    </row>
    <row r="21" ht="30" customHeight="1">
      <c r="A21" s="18" t="n">
        <v>18</v>
      </c>
      <c r="B21" s="19" t="inlineStr">
        <is>
          <t>STANENCIC Zoran</t>
        </is>
      </c>
      <c r="C21" s="20" t="inlineStr">
        <is>
          <t>Adulte</t>
        </is>
      </c>
      <c r="D21" s="21" t="inlineStr">
        <is>
          <t>Mardi ou mercredi après 20h</t>
        </is>
      </c>
      <c r="E21" s="21" t="inlineStr">
        <is>
          <t>À préciser</t>
        </is>
      </c>
      <c r="F21" s="22" t="n">
        <v>46266</v>
      </c>
      <c r="G21" s="21" t="n"/>
      <c r="H21" s="18" t="inlineStr">
        <is>
          <t>En attente</t>
        </is>
      </c>
      <c r="I21" s="21" t="n"/>
    </row>
    <row r="22" ht="30" customHeight="1">
      <c r="A22" s="13" t="n">
        <v>19</v>
      </c>
      <c r="B22" s="14" t="inlineStr">
        <is>
          <t>SACILOTTO Delvina</t>
        </is>
      </c>
      <c r="C22" s="15" t="inlineStr">
        <is>
          <t>Adulte</t>
        </is>
      </c>
      <c r="D22" s="16" t="inlineStr">
        <is>
          <t>En soirée</t>
        </is>
      </c>
      <c r="E22" s="16" t="inlineStr">
        <is>
          <t>Débutante</t>
        </is>
      </c>
      <c r="F22" s="17" t="n">
        <v>46266</v>
      </c>
      <c r="G22" s="16" t="n"/>
      <c r="H22" s="13" t="inlineStr">
        <is>
          <t>En attente</t>
        </is>
      </c>
      <c r="I22" s="16" t="n"/>
    </row>
    <row r="23" ht="30" customHeight="1">
      <c r="A23" s="18" t="n">
        <v>20</v>
      </c>
      <c r="B23" s="19" t="inlineStr">
        <is>
          <t>LEGEIN Emma</t>
        </is>
      </c>
      <c r="C23" s="20" t="inlineStr">
        <is>
          <t>Adulte</t>
        </is>
      </c>
      <c r="D23" s="21" t="inlineStr">
        <is>
          <t>En soirée</t>
        </is>
      </c>
      <c r="E23" s="21" t="inlineStr">
        <is>
          <t>Intermédiaire</t>
        </is>
      </c>
      <c r="F23" s="22" t="n">
        <v>46266</v>
      </c>
      <c r="G23" s="21" t="n"/>
      <c r="H23" s="18" t="inlineStr">
        <is>
          <t>En attente</t>
        </is>
      </c>
      <c r="I23" s="21" t="n"/>
    </row>
    <row r="24" ht="30" customHeight="1">
      <c r="A24" s="13" t="n">
        <v>21</v>
      </c>
      <c r="B24" s="14" t="inlineStr">
        <is>
          <t>MARTINEZ Alicia</t>
        </is>
      </c>
      <c r="C24" s="15" t="inlineStr">
        <is>
          <t>Adulte</t>
        </is>
      </c>
      <c r="D24" s="16" t="inlineStr">
        <is>
          <t>Lundi, mardi, mercredi après 19h</t>
        </is>
      </c>
      <c r="E24" s="16" t="inlineStr">
        <is>
          <t>Non précisé</t>
        </is>
      </c>
      <c r="F24" s="17" t="n"/>
      <c r="G24" s="16" t="inlineStr">
        <is>
          <t>Feuille non datée</t>
        </is>
      </c>
      <c r="H24" s="13" t="inlineStr">
        <is>
          <t>En attente</t>
        </is>
      </c>
      <c r="I24" s="16" t="n"/>
    </row>
    <row r="25" ht="30" customHeight="1">
      <c r="A25" s="18" t="n">
        <v>22</v>
      </c>
      <c r="B25" s="19" t="inlineStr">
        <is>
          <t>JUSSENS Dario</t>
        </is>
      </c>
      <c r="C25" s="20" t="inlineStr">
        <is>
          <t>Adulte</t>
        </is>
      </c>
      <c r="D25" s="21" t="inlineStr">
        <is>
          <t>En soirée</t>
        </is>
      </c>
      <c r="E25" s="21" t="inlineStr">
        <is>
          <t>Intermédiaire +</t>
        </is>
      </c>
      <c r="F25" s="22" t="n"/>
      <c r="G25" s="21" t="inlineStr">
        <is>
          <t>Ami(e) de Lisa Laumen — feuille non datée</t>
        </is>
      </c>
      <c r="H25" s="18" t="inlineStr">
        <is>
          <t>En attente</t>
        </is>
      </c>
      <c r="I25" s="21" t="n"/>
    </row>
    <row r="26" ht="30" customHeight="1">
      <c r="A26" s="13" t="n">
        <v>23</v>
      </c>
      <c r="B26" s="14" t="inlineStr">
        <is>
          <t>KOBISZAK (?)</t>
        </is>
      </c>
      <c r="C26" s="15" t="inlineStr">
        <is>
          <t>Adulte</t>
        </is>
      </c>
      <c r="D26" s="16" t="inlineStr">
        <is>
          <t>Plus tôt ou en soirée, sauf vendredi</t>
        </is>
      </c>
      <c r="E26" s="16" t="inlineStr">
        <is>
          <t>Non précisé</t>
        </is>
      </c>
      <c r="F26" s="17" t="n"/>
      <c r="G26" s="16" t="inlineStr">
        <is>
          <t>Souhaite changer du lundi 21h — feuille non datée</t>
        </is>
      </c>
      <c r="H26" s="13" t="inlineStr">
        <is>
          <t>En attente</t>
        </is>
      </c>
      <c r="I26" s="16" t="n"/>
    </row>
    <row r="27" ht="30" customHeight="1">
      <c r="A27" s="18" t="n">
        <v>24</v>
      </c>
      <c r="B27" s="19" t="inlineStr">
        <is>
          <t>SHERVASHIDZE Ana</t>
        </is>
      </c>
      <c r="C27" s="20" t="inlineStr">
        <is>
          <t>Adulte</t>
        </is>
      </c>
      <c r="D27" s="21" t="inlineStr">
        <is>
          <t>Après 19h</t>
        </is>
      </c>
      <c r="E27" s="21" t="inlineStr">
        <is>
          <t>Débutante</t>
        </is>
      </c>
      <c r="F27" s="22" t="n"/>
      <c r="G27" s="21" t="inlineStr">
        <is>
          <t>Feuille non datée</t>
        </is>
      </c>
      <c r="H27" s="18" t="inlineStr">
        <is>
          <t>En attente</t>
        </is>
      </c>
      <c r="I27" s="21" t="n"/>
    </row>
    <row r="28" ht="30" customHeight="1">
      <c r="A28" s="13" t="n">
        <v>25</v>
      </c>
      <c r="B28" s="14" t="inlineStr">
        <is>
          <t>LAUMEN Lisa</t>
        </is>
      </c>
      <c r="C28" s="15" t="inlineStr">
        <is>
          <t>Adulte</t>
        </is>
      </c>
      <c r="D28" s="16" t="inlineStr">
        <is>
          <t>En soirée</t>
        </is>
      </c>
      <c r="E28" s="16" t="inlineStr">
        <is>
          <t>Intermédiaire +</t>
        </is>
      </c>
      <c r="F28" s="17" t="n"/>
      <c r="G28" s="16" t="inlineStr">
        <is>
          <t>Avec Dario Jussens — feuille non datée</t>
        </is>
      </c>
      <c r="H28" s="13" t="inlineStr">
        <is>
          <t>En attente</t>
        </is>
      </c>
      <c r="I28" s="16" t="n"/>
    </row>
    <row r="29" ht="30" customHeight="1">
      <c r="A29" s="18" t="n">
        <v>26</v>
      </c>
      <c r="B29" s="19" t="inlineStr">
        <is>
          <t>REIVELLE Filippo</t>
        </is>
      </c>
      <c r="C29" s="20" t="inlineStr">
        <is>
          <t>Adulte</t>
        </is>
      </c>
      <c r="D29" s="21" t="inlineStr">
        <is>
          <t>En soirée ou le samedi</t>
        </is>
      </c>
      <c r="E29" s="21" t="inlineStr">
        <is>
          <t>Non précisé</t>
        </is>
      </c>
      <c r="F29" s="22" t="n"/>
      <c r="G29" s="21" t="inlineStr">
        <is>
          <t>Demande un 2e cours — feuille non datée</t>
        </is>
      </c>
      <c r="H29" s="18" t="inlineStr">
        <is>
          <t>En attente</t>
        </is>
      </c>
      <c r="I29" s="21" t="n"/>
    </row>
    <row r="30" ht="30" customHeight="1">
      <c r="A30" s="13" t="n">
        <v>27</v>
      </c>
      <c r="B30" s="14" t="inlineStr">
        <is>
          <t>SAGN… Eero (?)</t>
        </is>
      </c>
      <c r="C30" s="15" t="inlineStr">
        <is>
          <t>Adulte</t>
        </is>
      </c>
      <c r="D30" s="16" t="inlineStr">
        <is>
          <t>En soirée ou le samedi</t>
        </is>
      </c>
      <c r="E30" s="16" t="inlineStr">
        <is>
          <t>1 an de tennis</t>
        </is>
      </c>
      <c r="F30" s="17" t="n"/>
      <c r="G30" s="16" t="inlineStr">
        <is>
          <t>Nom de famille illisible — feuille non datée</t>
        </is>
      </c>
      <c r="H30" s="13" t="inlineStr">
        <is>
          <t>En attente</t>
        </is>
      </c>
      <c r="I30" s="16" t="n"/>
    </row>
    <row r="31" ht="30" customHeight="1">
      <c r="A31" s="18" t="n">
        <v>28</v>
      </c>
      <c r="B31" s="19" t="inlineStr">
        <is>
          <t>LE RAVIE Alexia (?)</t>
        </is>
      </c>
      <c r="C31" s="20" t="inlineStr">
        <is>
          <t>Adulte</t>
        </is>
      </c>
      <c r="D31" s="21" t="inlineStr">
        <is>
          <t>Lundi ou mardi soir</t>
        </is>
      </c>
      <c r="E31" s="21" t="inlineStr">
        <is>
          <t>Non précisé</t>
        </is>
      </c>
      <c r="F31" s="22" t="n"/>
      <c r="G31" s="21" t="inlineStr">
        <is>
          <t>Feuille non datée</t>
        </is>
      </c>
      <c r="H31" s="18" t="inlineStr">
        <is>
          <t>En attente</t>
        </is>
      </c>
      <c r="I31" s="21" t="n"/>
    </row>
  </sheetData>
  <autoFilter ref="A3:I31"/>
  <mergeCells count="2">
    <mergeCell ref="A1:I1"/>
    <mergeCell ref="A2:I2"/>
  </mergeCells>
  <conditionalFormatting sqref="A4:I31">
    <cfRule type="expression" priority="1" dxfId="0">
      <formula>$H4="Inscrit"</formula>
    </cfRule>
    <cfRule type="expression" priority="2" dxfId="1">
      <formula>$H4="Désisté"</formula>
    </cfRule>
    <cfRule type="expression" priority="3" dxfId="2">
      <formula>$H4="Contacté"</formula>
    </cfRule>
  </conditionalFormatting>
  <dataValidations count="1">
    <dataValidation sqref="H4:H71" showDropDown="0" showInputMessage="0" showErrorMessage="0" allowBlank="1" error="Choisissez une valeur dans la liste." prompt="Sélectionnez le statut" type="list">
      <formula1>"En attente,Contacté,Inscrit,Désisté,Sans réponse"</formula1>
    </dataValidation>
  </dataValidation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2" customWidth="1" min="3" max="3"/>
    <col width="42" customWidth="1" min="4" max="4"/>
    <col width="28" customWidth="1" min="5" max="5"/>
    <col width="14" customWidth="1" min="6" max="6"/>
    <col width="44" customWidth="1" min="7" max="7"/>
    <col width="14" customWidth="1" min="8" max="8"/>
    <col width="28" customWidth="1" min="9" max="9"/>
  </cols>
  <sheetData>
    <row r="1">
      <c r="A1" s="11" t="inlineStr">
        <is>
          <t>Liste d'attente — ENFANTS 3 à 7 ans</t>
        </is>
      </c>
    </row>
    <row r="2">
      <c r="A2" s="12" t="inlineStr">
        <is>
          <t>Cycle 2026-2027 — 17 demande(s) — classées par date de demande</t>
        </is>
      </c>
    </row>
    <row r="3" ht="30" customHeight="1">
      <c r="A3" s="6" t="inlineStr">
        <is>
          <t>N°</t>
        </is>
      </c>
      <c r="B3" s="6" t="inlineStr">
        <is>
          <t>Nom</t>
        </is>
      </c>
      <c r="C3" s="6" t="inlineStr">
        <is>
          <t>Âge / naissance</t>
        </is>
      </c>
      <c r="D3" s="6" t="inlineStr">
        <is>
          <t>Disponibilités</t>
        </is>
      </c>
      <c r="E3" s="6" t="inlineStr">
        <is>
          <t>Niveau</t>
        </is>
      </c>
      <c r="F3" s="6" t="inlineStr">
        <is>
          <t>Date demande</t>
        </is>
      </c>
      <c r="G3" s="6" t="inlineStr">
        <is>
          <t>Remarques</t>
        </is>
      </c>
      <c r="H3" s="6" t="inlineStr">
        <is>
          <t>Statut</t>
        </is>
      </c>
      <c r="I3" s="6" t="inlineStr">
        <is>
          <t>Notes de suivi</t>
        </is>
      </c>
    </row>
    <row r="4" ht="30" customHeight="1">
      <c r="A4" s="13" t="n">
        <v>1</v>
      </c>
      <c r="B4" s="14" t="inlineStr">
        <is>
          <t>BEN SALLAH Ilian</t>
        </is>
      </c>
      <c r="C4" s="15" t="inlineStr">
        <is>
          <t>2022 — 4 ans</t>
        </is>
      </c>
      <c r="D4" s="16" t="n"/>
      <c r="E4" s="16" t="inlineStr">
        <is>
          <t>Bleu / Rouge</t>
        </is>
      </c>
      <c r="F4" s="17" t="n">
        <v>46220</v>
      </c>
      <c r="G4" s="16" t="n"/>
      <c r="H4" s="13" t="inlineStr">
        <is>
          <t>En attente</t>
        </is>
      </c>
      <c r="I4" s="16" t="n"/>
    </row>
    <row r="5" ht="30" customHeight="1">
      <c r="A5" s="18" t="n">
        <v>2</v>
      </c>
      <c r="B5" s="19" t="inlineStr">
        <is>
          <t>DOGAN Selin</t>
        </is>
      </c>
      <c r="C5" s="20" t="inlineStr">
        <is>
          <t>2020 — 6 ans</t>
        </is>
      </c>
      <c r="D5" s="21" t="n"/>
      <c r="E5" s="21" t="inlineStr">
        <is>
          <t>Rouge</t>
        </is>
      </c>
      <c r="F5" s="22" t="n">
        <v>46223</v>
      </c>
      <c r="G5" s="21" t="n"/>
      <c r="H5" s="18" t="inlineStr">
        <is>
          <t>En attente</t>
        </is>
      </c>
      <c r="I5" s="21" t="n"/>
    </row>
    <row r="6" ht="30" customHeight="1">
      <c r="A6" s="13" t="n">
        <v>3</v>
      </c>
      <c r="B6" s="14" t="inlineStr">
        <is>
          <t>FLORENT THYS (?)</t>
        </is>
      </c>
      <c r="C6" s="15" t="inlineStr">
        <is>
          <t>4 ans</t>
        </is>
      </c>
      <c r="D6" s="16" t="n"/>
      <c r="E6" s="16" t="inlineStr">
        <is>
          <t>Non précisé</t>
        </is>
      </c>
      <c r="F6" s="17" t="n">
        <v>46223</v>
      </c>
      <c r="G6" s="16" t="inlineStr">
        <is>
          <t>Prénom/nom à confirmer</t>
        </is>
      </c>
      <c r="H6" s="13" t="inlineStr">
        <is>
          <t>En attente</t>
        </is>
      </c>
      <c r="I6" s="16" t="n"/>
    </row>
    <row r="7" ht="30" customHeight="1">
      <c r="A7" s="18" t="n">
        <v>4</v>
      </c>
      <c r="B7" s="19" t="inlineStr">
        <is>
          <t>LIETZ Laura</t>
        </is>
      </c>
      <c r="C7" s="20" t="inlineStr">
        <is>
          <t>4,5 ans</t>
        </is>
      </c>
      <c r="D7" s="21" t="n"/>
      <c r="E7" s="21" t="inlineStr">
        <is>
          <t>Non précisé</t>
        </is>
      </c>
      <c r="F7" s="22" t="n">
        <v>46235</v>
      </c>
      <c r="G7" s="21" t="n"/>
      <c r="H7" s="18" t="inlineStr">
        <is>
          <t>En attente</t>
        </is>
      </c>
      <c r="I7" s="21" t="n"/>
    </row>
    <row r="8" ht="30" customHeight="1">
      <c r="A8" s="13" t="n">
        <v>5</v>
      </c>
      <c r="B8" s="14" t="inlineStr">
        <is>
          <t>TISAUN Alec</t>
        </is>
      </c>
      <c r="C8" s="15" t="inlineStr">
        <is>
          <t>4 ans</t>
        </is>
      </c>
      <c r="D8" s="16" t="inlineStr">
        <is>
          <t>Mercredi</t>
        </is>
      </c>
      <c r="E8" s="16" t="inlineStr">
        <is>
          <t>Non précisé</t>
        </is>
      </c>
      <c r="F8" s="17" t="n">
        <v>46242</v>
      </c>
      <c r="G8" s="16" t="n"/>
      <c r="H8" s="13" t="inlineStr">
        <is>
          <t>En attente</t>
        </is>
      </c>
      <c r="I8" s="16" t="n"/>
    </row>
    <row r="9" ht="30" customHeight="1">
      <c r="A9" s="18" t="n">
        <v>6</v>
      </c>
      <c r="B9" s="19" t="inlineStr">
        <is>
          <t>BOUKHENNOU Noam</t>
        </is>
      </c>
      <c r="C9" s="20" t="inlineStr">
        <is>
          <t>4 ans</t>
        </is>
      </c>
      <c r="D9" s="21" t="n"/>
      <c r="E9" s="21" t="inlineStr">
        <is>
          <t>Non précisé</t>
        </is>
      </c>
      <c r="F9" s="22" t="n">
        <v>46244</v>
      </c>
      <c r="G9" s="21" t="n"/>
      <c r="H9" s="18" t="inlineStr">
        <is>
          <t>En attente</t>
        </is>
      </c>
      <c r="I9" s="21" t="n"/>
    </row>
    <row r="10" ht="30" customHeight="1">
      <c r="A10" s="13" t="n">
        <v>7</v>
      </c>
      <c r="B10" s="14" t="inlineStr">
        <is>
          <t>CARBIER Marius &amp; Louison</t>
        </is>
      </c>
      <c r="C10" s="15" t="inlineStr">
        <is>
          <t>3,5 ans</t>
        </is>
      </c>
      <c r="D10" s="16" t="n"/>
      <c r="E10" s="16" t="inlineStr">
        <is>
          <t>Non précisé</t>
        </is>
      </c>
      <c r="F10" s="17" t="n">
        <v>46247</v>
      </c>
      <c r="G10" s="16" t="inlineStr">
        <is>
          <t>2 enfants (fratrie)</t>
        </is>
      </c>
      <c r="H10" s="13" t="inlineStr">
        <is>
          <t>En attente</t>
        </is>
      </c>
      <c r="I10" s="16" t="n"/>
    </row>
    <row r="11" ht="30" customHeight="1">
      <c r="A11" s="18" t="n">
        <v>8</v>
      </c>
      <c r="B11" s="19" t="inlineStr">
        <is>
          <t>PIREMAN Zoé</t>
        </is>
      </c>
      <c r="C11" s="20" t="inlineStr">
        <is>
          <t>7,5 ans</t>
        </is>
      </c>
      <c r="D11" s="21" t="inlineStr">
        <is>
          <t>Après 16h ; mer. avant 16h ; sam. avant 11h30 ou après 13h30</t>
        </is>
      </c>
      <c r="E11" s="21" t="inlineStr">
        <is>
          <t>Débutante +</t>
        </is>
      </c>
      <c r="F11" s="22" t="n">
        <v>46255</v>
      </c>
      <c r="G11" s="21" t="n"/>
      <c r="H11" s="18" t="inlineStr">
        <is>
          <t>En attente</t>
        </is>
      </c>
      <c r="I11" s="21" t="n"/>
    </row>
    <row r="12" ht="30" customHeight="1">
      <c r="A12" s="13" t="n">
        <v>9</v>
      </c>
      <c r="B12" s="14" t="inlineStr">
        <is>
          <t>CHAFAOUI Noké (?)</t>
        </is>
      </c>
      <c r="C12" s="15" t="inlineStr">
        <is>
          <t>5 ans</t>
        </is>
      </c>
      <c r="D12" s="16" t="inlineStr">
        <is>
          <t>Mercredi 15h</t>
        </is>
      </c>
      <c r="E12" s="16" t="inlineStr">
        <is>
          <t>Non précisé</t>
        </is>
      </c>
      <c r="F12" s="17" t="n">
        <v>46255</v>
      </c>
      <c r="G12" s="16" t="n"/>
      <c r="H12" s="13" t="inlineStr">
        <is>
          <t>En attente</t>
        </is>
      </c>
      <c r="I12" s="16" t="n"/>
    </row>
    <row r="13" ht="30" customHeight="1">
      <c r="A13" s="18" t="n">
        <v>10</v>
      </c>
      <c r="B13" s="19" t="inlineStr">
        <is>
          <t>ALPER Ishmael</t>
        </is>
      </c>
      <c r="C13" s="20" t="inlineStr">
        <is>
          <t>2020 — 6 ans</t>
        </is>
      </c>
      <c r="D13" s="21" t="inlineStr">
        <is>
          <t>Lundi 16h30 ou samedi 10h</t>
        </is>
      </c>
      <c r="E13" s="21" t="inlineStr">
        <is>
          <t>Non précisé</t>
        </is>
      </c>
      <c r="F13" s="22" t="n">
        <v>46255</v>
      </c>
      <c r="G13" s="21" t="n"/>
      <c r="H13" s="18" t="inlineStr">
        <is>
          <t>En attente</t>
        </is>
      </c>
      <c r="I13" s="21" t="n"/>
    </row>
    <row r="14" ht="30" customHeight="1">
      <c r="A14" s="13" t="n">
        <v>11</v>
      </c>
      <c r="B14" s="14" t="inlineStr">
        <is>
          <t>BAJIC Milena</t>
        </is>
      </c>
      <c r="C14" s="15" t="inlineStr">
        <is>
          <t>24/04/2022 — 4 ans</t>
        </is>
      </c>
      <c r="D14" s="16" t="n"/>
      <c r="E14" s="16" t="inlineStr">
        <is>
          <t>Débutante</t>
        </is>
      </c>
      <c r="F14" s="17" t="n">
        <v>46259</v>
      </c>
      <c r="G14" s="16" t="inlineStr">
        <is>
          <t>0493 88 37 31 — milenabajic24@gmail.com</t>
        </is>
      </c>
      <c r="H14" s="13" t="inlineStr">
        <is>
          <t>En attente</t>
        </is>
      </c>
      <c r="I14" s="16" t="n"/>
    </row>
    <row r="15" ht="30" customHeight="1">
      <c r="A15" s="18" t="n">
        <v>12</v>
      </c>
      <c r="B15" s="19" t="inlineStr">
        <is>
          <t>LUYS Richard</t>
        </is>
      </c>
      <c r="C15" s="20" t="inlineStr">
        <is>
          <t>4 ans</t>
        </is>
      </c>
      <c r="D15" s="21" t="n"/>
      <c r="E15" s="21" t="inlineStr">
        <is>
          <t>Non précisé</t>
        </is>
      </c>
      <c r="F15" s="22" t="n">
        <v>46261</v>
      </c>
      <c r="G15" s="21" t="n"/>
      <c r="H15" s="18" t="inlineStr">
        <is>
          <t>En attente</t>
        </is>
      </c>
      <c r="I15" s="21" t="n"/>
    </row>
    <row r="16" ht="30" customHeight="1">
      <c r="A16" s="13" t="n">
        <v>13</v>
      </c>
      <c r="B16" s="14" t="inlineStr">
        <is>
          <t>GOUROVA Daria</t>
        </is>
      </c>
      <c r="C16" s="15" t="inlineStr">
        <is>
          <t>3 ans</t>
        </is>
      </c>
      <c r="D16" s="16" t="n"/>
      <c r="E16" s="16" t="inlineStr">
        <is>
          <t>Non précisé</t>
        </is>
      </c>
      <c r="F16" s="17" t="n">
        <v>46265</v>
      </c>
      <c r="G16" s="16" t="inlineStr">
        <is>
          <t>« Une seule place » demandée</t>
        </is>
      </c>
      <c r="H16" s="13" t="inlineStr">
        <is>
          <t>En attente</t>
        </is>
      </c>
      <c r="I16" s="16" t="n"/>
    </row>
    <row r="17" ht="30" customHeight="1">
      <c r="A17" s="18" t="n">
        <v>14</v>
      </c>
      <c r="B17" s="19" t="inlineStr">
        <is>
          <t>MISHA (Arish Khan)</t>
        </is>
      </c>
      <c r="C17" s="20" t="inlineStr">
        <is>
          <t>2022 — 4 ans</t>
        </is>
      </c>
      <c r="D17" s="21" t="n"/>
      <c r="E17" s="21" t="inlineStr">
        <is>
          <t>Non précisé</t>
        </is>
      </c>
      <c r="F17" s="22" t="n">
        <v>46266</v>
      </c>
      <c r="G17" s="21" t="n"/>
      <c r="H17" s="18" t="inlineStr">
        <is>
          <t>En attente</t>
        </is>
      </c>
      <c r="I17" s="21" t="n"/>
    </row>
    <row r="18" ht="30" customHeight="1">
      <c r="A18" s="13" t="n">
        <v>15</v>
      </c>
      <c r="B18" s="14" t="inlineStr">
        <is>
          <t>MICHELOTTO MARTINS Maria Rafaella</t>
        </is>
      </c>
      <c r="C18" s="15" t="inlineStr">
        <is>
          <t>16/10/2019 — 7 ans</t>
        </is>
      </c>
      <c r="D18" s="16" t="n"/>
      <c r="E18" s="16" t="inlineStr">
        <is>
          <t>Orange</t>
        </is>
      </c>
      <c r="F18" s="17" t="n"/>
      <c r="G18" s="16" t="inlineStr">
        <is>
          <t>0493 18 58 91 — feuille non datée</t>
        </is>
      </c>
      <c r="H18" s="13" t="inlineStr">
        <is>
          <t>En attente</t>
        </is>
      </c>
      <c r="I18" s="16" t="n"/>
    </row>
    <row r="19" ht="30" customHeight="1">
      <c r="A19" s="18" t="n">
        <v>16</v>
      </c>
      <c r="B19" s="19" t="inlineStr">
        <is>
          <t>BA Olivia</t>
        </is>
      </c>
      <c r="C19" s="20" t="inlineStr">
        <is>
          <t>2019 — 7 ans</t>
        </is>
      </c>
      <c r="D19" s="21" t="inlineStr">
        <is>
          <t>Samedi matin</t>
        </is>
      </c>
      <c r="E19" s="21" t="inlineStr">
        <is>
          <t>Non précisé</t>
        </is>
      </c>
      <c r="F19" s="22" t="n"/>
      <c r="G19" s="21" t="inlineStr">
        <is>
          <t>Avec Alpha BA (fratrie) — non datée</t>
        </is>
      </c>
      <c r="H19" s="18" t="inlineStr">
        <is>
          <t>En attente</t>
        </is>
      </c>
      <c r="I19" s="21" t="n"/>
    </row>
    <row r="20" ht="30" customHeight="1">
      <c r="A20" s="13" t="n">
        <v>17</v>
      </c>
      <c r="B20" s="14" t="inlineStr">
        <is>
          <t>BA Alpha</t>
        </is>
      </c>
      <c r="C20" s="15" t="inlineStr">
        <is>
          <t>2021 — 5 ans</t>
        </is>
      </c>
      <c r="D20" s="16" t="inlineStr">
        <is>
          <t>Samedi matin</t>
        </is>
      </c>
      <c r="E20" s="16" t="inlineStr">
        <is>
          <t>Non précisé</t>
        </is>
      </c>
      <c r="F20" s="17" t="n"/>
      <c r="G20" s="16" t="inlineStr">
        <is>
          <t>Avec Olivia BA (fratrie) — non datée</t>
        </is>
      </c>
      <c r="H20" s="13" t="inlineStr">
        <is>
          <t>En attente</t>
        </is>
      </c>
      <c r="I20" s="16" t="n"/>
    </row>
  </sheetData>
  <autoFilter ref="A3:I20"/>
  <mergeCells count="2">
    <mergeCell ref="A1:I1"/>
    <mergeCell ref="A2:I2"/>
  </mergeCells>
  <conditionalFormatting sqref="A4:I20">
    <cfRule type="expression" priority="1" dxfId="0">
      <formula>$H4="Inscrit"</formula>
    </cfRule>
    <cfRule type="expression" priority="2" dxfId="1">
      <formula>$H4="Désisté"</formula>
    </cfRule>
    <cfRule type="expression" priority="3" dxfId="2">
      <formula>$H4="Contacté"</formula>
    </cfRule>
  </conditionalFormatting>
  <dataValidations count="1">
    <dataValidation sqref="H4:H60" showDropDown="0" showInputMessage="0" showErrorMessage="0" allowBlank="1" error="Choisissez une valeur dans la liste." prompt="Sélectionnez le statut" type="list">
      <formula1>"En attente,Contacté,Inscrit,Désisté,Sans réponse"</formula1>
    </dataValidation>
  </dataValidation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2" customWidth="1" min="3" max="3"/>
    <col width="42" customWidth="1" min="4" max="4"/>
    <col width="28" customWidth="1" min="5" max="5"/>
    <col width="14" customWidth="1" min="6" max="6"/>
    <col width="44" customWidth="1" min="7" max="7"/>
    <col width="14" customWidth="1" min="8" max="8"/>
    <col width="28" customWidth="1" min="9" max="9"/>
  </cols>
  <sheetData>
    <row r="1">
      <c r="A1" s="11" t="inlineStr">
        <is>
          <t>Liste d'attente — ENFANTS 8 à 9 ans</t>
        </is>
      </c>
    </row>
    <row r="2">
      <c r="A2" s="12" t="inlineStr">
        <is>
          <t>Cycle 2026-2027 — 6 demande(s) — classées par date de demande</t>
        </is>
      </c>
    </row>
    <row r="3" ht="30" customHeight="1">
      <c r="A3" s="6" t="inlineStr">
        <is>
          <t>N°</t>
        </is>
      </c>
      <c r="B3" s="6" t="inlineStr">
        <is>
          <t>Nom</t>
        </is>
      </c>
      <c r="C3" s="6" t="inlineStr">
        <is>
          <t>Âge / naissance</t>
        </is>
      </c>
      <c r="D3" s="6" t="inlineStr">
        <is>
          <t>Disponibilités</t>
        </is>
      </c>
      <c r="E3" s="6" t="inlineStr">
        <is>
          <t>Niveau</t>
        </is>
      </c>
      <c r="F3" s="6" t="inlineStr">
        <is>
          <t>Date demande</t>
        </is>
      </c>
      <c r="G3" s="6" t="inlineStr">
        <is>
          <t>Remarques</t>
        </is>
      </c>
      <c r="H3" s="6" t="inlineStr">
        <is>
          <t>Statut</t>
        </is>
      </c>
      <c r="I3" s="6" t="inlineStr">
        <is>
          <t>Notes de suivi</t>
        </is>
      </c>
    </row>
    <row r="4" ht="30" customHeight="1">
      <c r="A4" s="13" t="n">
        <v>1</v>
      </c>
      <c r="B4" s="14" t="inlineStr">
        <is>
          <t>VANHIE Maxence</t>
        </is>
      </c>
      <c r="C4" s="15" t="inlineStr">
        <is>
          <t>02/03/2018 — 8 ans</t>
        </is>
      </c>
      <c r="D4" s="16" t="n"/>
      <c r="E4" s="16" t="inlineStr">
        <is>
          <t>Orange débutant</t>
        </is>
      </c>
      <c r="F4" s="17" t="n">
        <v>46197</v>
      </c>
      <c r="G4" s="16" t="n"/>
      <c r="H4" s="13" t="inlineStr">
        <is>
          <t>En attente</t>
        </is>
      </c>
      <c r="I4" s="16" t="n"/>
    </row>
    <row r="5" ht="30" customHeight="1">
      <c r="A5" s="18" t="n">
        <v>2</v>
      </c>
      <c r="B5" s="19" t="inlineStr">
        <is>
          <t>DEVRIM Deniz</t>
        </is>
      </c>
      <c r="C5" s="20" t="inlineStr">
        <is>
          <t>8 ans</t>
        </is>
      </c>
      <c r="D5" s="21" t="n"/>
      <c r="E5" s="21" t="inlineStr">
        <is>
          <t>Débutant</t>
        </is>
      </c>
      <c r="F5" s="22" t="n">
        <v>46211</v>
      </c>
      <c r="G5" s="21" t="n"/>
      <c r="H5" s="18" t="inlineStr">
        <is>
          <t>En attente</t>
        </is>
      </c>
      <c r="I5" s="21" t="n"/>
    </row>
    <row r="6" ht="30" customHeight="1">
      <c r="A6" s="13" t="n">
        <v>3</v>
      </c>
      <c r="B6" s="14" t="inlineStr">
        <is>
          <t>DURANT Ariane</t>
        </is>
      </c>
      <c r="C6" s="15" t="inlineStr">
        <is>
          <t>2017 — 9 ans</t>
        </is>
      </c>
      <c r="D6" s="16" t="inlineStr">
        <is>
          <t>Mercredi après-midi après 14h (pas 12h30)</t>
        </is>
      </c>
      <c r="E6" s="16" t="inlineStr">
        <is>
          <t>Orange</t>
        </is>
      </c>
      <c r="F6" s="17" t="n">
        <v>46218</v>
      </c>
      <c r="G6" s="16" t="inlineStr">
        <is>
          <t>Notée 2× sur la feuille (15/07 et 17/07)</t>
        </is>
      </c>
      <c r="H6" s="13" t="inlineStr">
        <is>
          <t>En attente</t>
        </is>
      </c>
      <c r="I6" s="16" t="n"/>
    </row>
    <row r="7" ht="30" customHeight="1">
      <c r="A7" s="18" t="n">
        <v>4</v>
      </c>
      <c r="B7" s="19" t="inlineStr">
        <is>
          <t>CAMES Nassim</t>
        </is>
      </c>
      <c r="C7" s="20" t="inlineStr">
        <is>
          <t>9 ans</t>
        </is>
      </c>
      <c r="D7" s="21" t="inlineStr">
        <is>
          <t>Jeudi</t>
        </is>
      </c>
      <c r="E7" s="21" t="inlineStr">
        <is>
          <t>Non précisé</t>
        </is>
      </c>
      <c r="F7" s="22" t="n">
        <v>46241</v>
      </c>
      <c r="G7" s="21" t="n"/>
      <c r="H7" s="18" t="inlineStr">
        <is>
          <t>En attente</t>
        </is>
      </c>
      <c r="I7" s="21" t="n"/>
    </row>
    <row r="8" ht="30" customHeight="1">
      <c r="A8" s="13" t="n">
        <v>5</v>
      </c>
      <c r="B8" s="14" t="inlineStr">
        <is>
          <t>STEFANESCU Olivia</t>
        </is>
      </c>
      <c r="C8" s="15" t="inlineStr">
        <is>
          <t>8,5 ans</t>
        </is>
      </c>
      <c r="D8" s="16" t="n"/>
      <c r="E8" s="16" t="inlineStr">
        <is>
          <t>Orange / Vert</t>
        </is>
      </c>
      <c r="F8" s="17" t="n">
        <v>46256</v>
      </c>
      <c r="G8" s="16" t="inlineStr">
        <is>
          <t>Déjà inscrite les années précédentes</t>
        </is>
      </c>
      <c r="H8" s="13" t="inlineStr">
        <is>
          <t>En attente</t>
        </is>
      </c>
      <c r="I8" s="16" t="n"/>
    </row>
    <row r="9" ht="30" customHeight="1">
      <c r="A9" s="18" t="n">
        <v>6</v>
      </c>
      <c r="B9" s="19" t="inlineStr">
        <is>
          <t>DE RIBEAUCOURT Juan</t>
        </is>
      </c>
      <c r="C9" s="20" t="inlineStr">
        <is>
          <t>9 ans</t>
        </is>
      </c>
      <c r="D9" s="21" t="n"/>
      <c r="E9" s="21" t="inlineStr">
        <is>
          <t>5 ans de tennis</t>
        </is>
      </c>
      <c r="F9" s="22" t="n">
        <v>46261</v>
      </c>
      <c r="G9" s="21" t="n"/>
      <c r="H9" s="18" t="inlineStr">
        <is>
          <t>En attente</t>
        </is>
      </c>
      <c r="I9" s="21" t="n"/>
    </row>
  </sheetData>
  <autoFilter ref="A3:I9"/>
  <mergeCells count="2">
    <mergeCell ref="A1:I1"/>
    <mergeCell ref="A2:I2"/>
  </mergeCells>
  <conditionalFormatting sqref="A4:I9">
    <cfRule type="expression" priority="1" dxfId="0">
      <formula>$H4="Inscrit"</formula>
    </cfRule>
    <cfRule type="expression" priority="2" dxfId="1">
      <formula>$H4="Désisté"</formula>
    </cfRule>
    <cfRule type="expression" priority="3" dxfId="2">
      <formula>$H4="Contacté"</formula>
    </cfRule>
  </conditionalFormatting>
  <dataValidations count="1">
    <dataValidation sqref="H4:H49" showDropDown="0" showInputMessage="0" showErrorMessage="0" allowBlank="1" error="Choisissez une valeur dans la liste." prompt="Sélectionnez le statut" type="list">
      <formula1>"En attente,Contacté,Inscrit,Désisté,Sans réponse"</formula1>
    </dataValidation>
  </dataValidation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2" customWidth="1" min="3" max="3"/>
    <col width="42" customWidth="1" min="4" max="4"/>
    <col width="28" customWidth="1" min="5" max="5"/>
    <col width="14" customWidth="1" min="6" max="6"/>
    <col width="44" customWidth="1" min="7" max="7"/>
    <col width="14" customWidth="1" min="8" max="8"/>
    <col width="28" customWidth="1" min="9" max="9"/>
  </cols>
  <sheetData>
    <row r="1">
      <c r="A1" s="11" t="inlineStr">
        <is>
          <t>Liste d'attente — ENFANTS 10 à 12 ans</t>
        </is>
      </c>
    </row>
    <row r="2">
      <c r="A2" s="12" t="inlineStr">
        <is>
          <t>Cycle 2026-2027 — 13 demande(s) — classées par date de demande</t>
        </is>
      </c>
    </row>
    <row r="3" ht="30" customHeight="1">
      <c r="A3" s="6" t="inlineStr">
        <is>
          <t>N°</t>
        </is>
      </c>
      <c r="B3" s="6" t="inlineStr">
        <is>
          <t>Nom</t>
        </is>
      </c>
      <c r="C3" s="6" t="inlineStr">
        <is>
          <t>Âge / naissance</t>
        </is>
      </c>
      <c r="D3" s="6" t="inlineStr">
        <is>
          <t>Disponibilités</t>
        </is>
      </c>
      <c r="E3" s="6" t="inlineStr">
        <is>
          <t>Niveau</t>
        </is>
      </c>
      <c r="F3" s="6" t="inlineStr">
        <is>
          <t>Date demande</t>
        </is>
      </c>
      <c r="G3" s="6" t="inlineStr">
        <is>
          <t>Remarques</t>
        </is>
      </c>
      <c r="H3" s="6" t="inlineStr">
        <is>
          <t>Statut</t>
        </is>
      </c>
      <c r="I3" s="6" t="inlineStr">
        <is>
          <t>Notes de suivi</t>
        </is>
      </c>
    </row>
    <row r="4" ht="30" customHeight="1">
      <c r="A4" s="13" t="n">
        <v>1</v>
      </c>
      <c r="B4" s="14" t="inlineStr">
        <is>
          <t>WINKEL Roméo</t>
        </is>
      </c>
      <c r="C4" s="15" t="inlineStr">
        <is>
          <t>25/12/2016 — 10 ans</t>
        </is>
      </c>
      <c r="D4" s="16" t="inlineStr">
        <is>
          <t>Après 17h — pas le mercredi 12h30</t>
        </is>
      </c>
      <c r="E4" s="16" t="inlineStr">
        <is>
          <t>Vert (stage débutant)</t>
        </is>
      </c>
      <c r="F4" s="17" t="n">
        <v>46168</v>
      </c>
      <c r="G4" s="16" t="inlineStr">
        <is>
          <t>0494 58 80 45 — winkeljulien@yahoo.fr</t>
        </is>
      </c>
      <c r="H4" s="13" t="inlineStr">
        <is>
          <t>En attente</t>
        </is>
      </c>
      <c r="I4" s="16" t="n"/>
    </row>
    <row r="5" ht="30" customHeight="1">
      <c r="A5" s="18" t="n">
        <v>2</v>
      </c>
      <c r="B5" s="19" t="inlineStr">
        <is>
          <t>MILO (Esther Bollendorff)</t>
        </is>
      </c>
      <c r="C5" s="20" t="inlineStr">
        <is>
          <t>2015 — 11 ans</t>
        </is>
      </c>
      <c r="D5" s="21" t="inlineStr">
        <is>
          <t>Mardi après 17h ; mercredi 14h30-18h ; vendredi après 17h</t>
        </is>
      </c>
      <c r="E5" s="21" t="inlineStr">
        <is>
          <t>Débutant</t>
        </is>
      </c>
      <c r="F5" s="22" t="n">
        <v>46197</v>
      </c>
      <c r="G5" s="21" t="n"/>
      <c r="H5" s="18" t="inlineStr">
        <is>
          <t>En attente</t>
        </is>
      </c>
      <c r="I5" s="21" t="n"/>
    </row>
    <row r="6" ht="30" customHeight="1">
      <c r="A6" s="13" t="n">
        <v>3</v>
      </c>
      <c r="B6" s="14" t="inlineStr">
        <is>
          <t>PERCEVAL Marion</t>
        </is>
      </c>
      <c r="C6" s="15" t="inlineStr">
        <is>
          <t>11 ans</t>
        </is>
      </c>
      <c r="D6" s="16" t="inlineStr">
        <is>
          <t>Samedi après-midi</t>
        </is>
      </c>
      <c r="E6" s="16" t="inlineStr">
        <is>
          <t>1 an de tennis</t>
        </is>
      </c>
      <c r="F6" s="17" t="n">
        <v>46205</v>
      </c>
      <c r="G6" s="16" t="n"/>
      <c r="H6" s="13" t="inlineStr">
        <is>
          <t>En attente</t>
        </is>
      </c>
      <c r="I6" s="16" t="n"/>
    </row>
    <row r="7" ht="30" customHeight="1">
      <c r="A7" s="18" t="n">
        <v>4</v>
      </c>
      <c r="B7" s="19" t="inlineStr">
        <is>
          <t>RONDOT Georges</t>
        </is>
      </c>
      <c r="C7" s="20" t="inlineStr">
        <is>
          <t>16/04/2015 — 11 ans</t>
        </is>
      </c>
      <c r="D7" s="21" t="inlineStr">
        <is>
          <t>Lundi, jeudi, vendredi</t>
        </is>
      </c>
      <c r="E7" s="21" t="inlineStr">
        <is>
          <t>Jaune — 2 ans de tennis</t>
        </is>
      </c>
      <c r="F7" s="22" t="n">
        <v>46208</v>
      </c>
      <c r="G7" s="21" t="inlineStr">
        <is>
          <t>0486 78 67 78 — fratrie Rondot</t>
        </is>
      </c>
      <c r="H7" s="18" t="inlineStr">
        <is>
          <t>En attente</t>
        </is>
      </c>
      <c r="I7" s="21" t="n"/>
    </row>
    <row r="8" ht="30" customHeight="1">
      <c r="A8" s="13" t="n">
        <v>5</v>
      </c>
      <c r="B8" s="14" t="inlineStr">
        <is>
          <t>« VIJEH ZELLY » (?)</t>
        </is>
      </c>
      <c r="C8" s="15" t="inlineStr">
        <is>
          <t>9-10 ans (fille)</t>
        </is>
      </c>
      <c r="D8" s="16" t="n"/>
      <c r="E8" s="16" t="inlineStr">
        <is>
          <t>Vert — 4 ans de tennis</t>
        </is>
      </c>
      <c r="F8" s="17" t="n">
        <v>46208</v>
      </c>
      <c r="G8" s="16" t="inlineStr">
        <is>
          <t>Nom illisible ; âge à confirmer</t>
        </is>
      </c>
      <c r="H8" s="13" t="inlineStr">
        <is>
          <t>En attente</t>
        </is>
      </c>
      <c r="I8" s="16" t="n"/>
    </row>
    <row r="9" ht="30" customHeight="1">
      <c r="A9" s="18" t="n">
        <v>6</v>
      </c>
      <c r="B9" s="19" t="inlineStr">
        <is>
          <t>AUZOUY Lucas</t>
        </is>
      </c>
      <c r="C9" s="20" t="inlineStr">
        <is>
          <t>11 ans</t>
        </is>
      </c>
      <c r="D9" s="21" t="inlineStr">
        <is>
          <t>Mercredi</t>
        </is>
      </c>
      <c r="E9" s="21" t="inlineStr">
        <is>
          <t>Non précisé</t>
        </is>
      </c>
      <c r="F9" s="22" t="n">
        <v>46220</v>
      </c>
      <c r="G9" s="21" t="n"/>
      <c r="H9" s="18" t="inlineStr">
        <is>
          <t>En attente</t>
        </is>
      </c>
      <c r="I9" s="21" t="n"/>
    </row>
    <row r="10" ht="30" customHeight="1">
      <c r="A10" s="13" t="n">
        <v>7</v>
      </c>
      <c r="B10" s="14" t="inlineStr">
        <is>
          <t>GABRIEL</t>
        </is>
      </c>
      <c r="C10" s="15" t="inlineStr">
        <is>
          <t>10 ans</t>
        </is>
      </c>
      <c r="D10" s="16" t="inlineStr">
        <is>
          <t>Flexible</t>
        </is>
      </c>
      <c r="E10" s="16" t="inlineStr">
        <is>
          <t>Vert débutant</t>
        </is>
      </c>
      <c r="F10" s="17" t="n">
        <v>46220</v>
      </c>
      <c r="G10" s="16" t="inlineStr">
        <is>
          <t>Nom de famille manquant</t>
        </is>
      </c>
      <c r="H10" s="13" t="inlineStr">
        <is>
          <t>En attente</t>
        </is>
      </c>
      <c r="I10" s="16" t="n"/>
    </row>
    <row r="11" ht="30" customHeight="1">
      <c r="A11" s="18" t="n">
        <v>8</v>
      </c>
      <c r="B11" s="19" t="inlineStr">
        <is>
          <t>DIGANTH (?)</t>
        </is>
      </c>
      <c r="C11" s="20" t="inlineStr">
        <is>
          <t>10 ans</t>
        </is>
      </c>
      <c r="D11" s="21" t="inlineStr">
        <is>
          <t>Groupe du samedi 17h30</t>
        </is>
      </c>
      <c r="E11" s="21" t="inlineStr">
        <is>
          <t>Non précisé</t>
        </is>
      </c>
      <c r="F11" s="22" t="n">
        <v>46259</v>
      </c>
      <c r="G11" s="21" t="n"/>
      <c r="H11" s="18" t="inlineStr">
        <is>
          <t>En attente</t>
        </is>
      </c>
      <c r="I11" s="21" t="n"/>
    </row>
    <row r="12" ht="30" customHeight="1">
      <c r="A12" s="13" t="n">
        <v>9</v>
      </c>
      <c r="B12" s="14" t="inlineStr">
        <is>
          <t>BEKASIAK Albert</t>
        </is>
      </c>
      <c r="C12" s="15" t="inlineStr">
        <is>
          <t>2016 — 10 ans</t>
        </is>
      </c>
      <c r="D12" s="16" t="n"/>
      <c r="E12" s="16" t="inlineStr">
        <is>
          <t>Non précisé</t>
        </is>
      </c>
      <c r="F12" s="17" t="n">
        <v>46261</v>
      </c>
      <c r="G12" s="16" t="n"/>
      <c r="H12" s="13" t="inlineStr">
        <is>
          <t>En attente</t>
        </is>
      </c>
      <c r="I12" s="16" t="n"/>
    </row>
    <row r="13" ht="30" customHeight="1">
      <c r="A13" s="18" t="n">
        <v>10</v>
      </c>
      <c r="B13" s="19" t="inlineStr">
        <is>
          <t>RONDOT Sybille</t>
        </is>
      </c>
      <c r="C13" s="20" t="inlineStr">
        <is>
          <t>05/07/2016 — 10 ans</t>
        </is>
      </c>
      <c r="D13" s="21" t="n"/>
      <c r="E13" s="21" t="inlineStr">
        <is>
          <t>Vert — 2 ans de tennis</t>
        </is>
      </c>
      <c r="F13" s="22" t="n"/>
      <c r="G13" s="21" t="inlineStr">
        <is>
          <t>Fratrie Rondot — feuille non datée</t>
        </is>
      </c>
      <c r="H13" s="18" t="inlineStr">
        <is>
          <t>En attente</t>
        </is>
      </c>
      <c r="I13" s="21" t="n"/>
    </row>
    <row r="14" ht="30" customHeight="1">
      <c r="A14" s="13" t="n">
        <v>11</v>
      </c>
      <c r="B14" s="14" t="inlineStr">
        <is>
          <t>BENSHA Ozan (?)</t>
        </is>
      </c>
      <c r="C14" s="15" t="inlineStr">
        <is>
          <t>2014 — 12 ans</t>
        </is>
      </c>
      <c r="D14" s="16" t="inlineStr">
        <is>
          <t>Mercredi</t>
        </is>
      </c>
      <c r="E14" s="16" t="inlineStr">
        <is>
          <t>Jaune</t>
        </is>
      </c>
      <c r="F14" s="17" t="n"/>
      <c r="G14" s="16" t="inlineStr">
        <is>
          <t>Prénom à confirmer — feuille non datée</t>
        </is>
      </c>
      <c r="H14" s="13" t="inlineStr">
        <is>
          <t>En attente</t>
        </is>
      </c>
      <c r="I14" s="16" t="n"/>
    </row>
    <row r="15" ht="30" customHeight="1">
      <c r="A15" s="18" t="n">
        <v>12</v>
      </c>
      <c r="B15" s="19" t="inlineStr">
        <is>
          <t>GUTTIEREZ Diego</t>
        </is>
      </c>
      <c r="C15" s="20" t="inlineStr">
        <is>
          <t>01/08/2014 — 12 ans</t>
        </is>
      </c>
      <c r="D15" s="21" t="inlineStr">
        <is>
          <t>Tous les jours sauf le samedi</t>
        </is>
      </c>
      <c r="E15" s="21" t="inlineStr">
        <is>
          <t>Jaune — 6 ans de tennis</t>
        </is>
      </c>
      <c r="F15" s="22" t="n"/>
      <c r="G15" s="21" t="inlineStr">
        <is>
          <t>À inscrire ENSEMBLE avec Adrien Schopp — non datée</t>
        </is>
      </c>
      <c r="H15" s="18" t="inlineStr">
        <is>
          <t>En attente</t>
        </is>
      </c>
      <c r="I15" s="21" t="n"/>
    </row>
    <row r="16" ht="30" customHeight="1">
      <c r="A16" s="13" t="n">
        <v>13</v>
      </c>
      <c r="B16" s="14" t="inlineStr">
        <is>
          <t>Sœur d'Elena DELCARNE</t>
        </is>
      </c>
      <c r="C16" s="15" t="inlineStr">
        <is>
          <t>12 ans</t>
        </is>
      </c>
      <c r="D16" s="16" t="n"/>
      <c r="E16" s="16" t="inlineStr">
        <is>
          <t>Jaune débutante</t>
        </is>
      </c>
      <c r="F16" s="17" t="n"/>
      <c r="G16" s="16" t="inlineStr">
        <is>
          <t>Prénom à obtenir — feuille non datée</t>
        </is>
      </c>
      <c r="H16" s="13" t="inlineStr">
        <is>
          <t>En attente</t>
        </is>
      </c>
      <c r="I16" s="16" t="n"/>
    </row>
  </sheetData>
  <autoFilter ref="A3:I16"/>
  <mergeCells count="2">
    <mergeCell ref="A1:I1"/>
    <mergeCell ref="A2:I2"/>
  </mergeCells>
  <conditionalFormatting sqref="A4:I16">
    <cfRule type="expression" priority="1" dxfId="0">
      <formula>$H4="Inscrit"</formula>
    </cfRule>
    <cfRule type="expression" priority="2" dxfId="1">
      <formula>$H4="Désisté"</formula>
    </cfRule>
    <cfRule type="expression" priority="3" dxfId="2">
      <formula>$H4="Contacté"</formula>
    </cfRule>
  </conditionalFormatting>
  <dataValidations count="1">
    <dataValidation sqref="H4:H56" showDropDown="0" showInputMessage="0" showErrorMessage="0" allowBlank="1" error="Choisissez une valeur dans la liste." prompt="Sélectionnez le statut" type="list">
      <formula1>"En attente,Contacté,Inscrit,Désisté,Sans réponse"</formula1>
    </dataValidation>
  </dataValidation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2" customWidth="1" min="3" max="3"/>
    <col width="42" customWidth="1" min="4" max="4"/>
    <col width="28" customWidth="1" min="5" max="5"/>
    <col width="14" customWidth="1" min="6" max="6"/>
    <col width="44" customWidth="1" min="7" max="7"/>
    <col width="14" customWidth="1" min="8" max="8"/>
    <col width="28" customWidth="1" min="9" max="9"/>
  </cols>
  <sheetData>
    <row r="1">
      <c r="A1" s="11" t="inlineStr">
        <is>
          <t>Liste d'attente — JEUNES 13 à 14 ans</t>
        </is>
      </c>
    </row>
    <row r="2">
      <c r="A2" s="12" t="inlineStr">
        <is>
          <t>Cycle 2026-2027 — 4 demande(s) — classées par date de demande</t>
        </is>
      </c>
    </row>
    <row r="3" ht="30" customHeight="1">
      <c r="A3" s="6" t="inlineStr">
        <is>
          <t>N°</t>
        </is>
      </c>
      <c r="B3" s="6" t="inlineStr">
        <is>
          <t>Nom</t>
        </is>
      </c>
      <c r="C3" s="6" t="inlineStr">
        <is>
          <t>Âge / naissance</t>
        </is>
      </c>
      <c r="D3" s="6" t="inlineStr">
        <is>
          <t>Disponibilités</t>
        </is>
      </c>
      <c r="E3" s="6" t="inlineStr">
        <is>
          <t>Niveau</t>
        </is>
      </c>
      <c r="F3" s="6" t="inlineStr">
        <is>
          <t>Date demande</t>
        </is>
      </c>
      <c r="G3" s="6" t="inlineStr">
        <is>
          <t>Remarques</t>
        </is>
      </c>
      <c r="H3" s="6" t="inlineStr">
        <is>
          <t>Statut</t>
        </is>
      </c>
      <c r="I3" s="6" t="inlineStr">
        <is>
          <t>Notes de suivi</t>
        </is>
      </c>
    </row>
    <row r="4" ht="30" customHeight="1">
      <c r="A4" s="13" t="n">
        <v>1</v>
      </c>
      <c r="B4" s="14" t="inlineStr">
        <is>
          <t>CARIAUX Brice</t>
        </is>
      </c>
      <c r="C4" s="15" t="inlineStr">
        <is>
          <t>2012 — 14 ans</t>
        </is>
      </c>
      <c r="D4" s="16" t="inlineStr">
        <is>
          <t>2 × 1h / semaine</t>
        </is>
      </c>
      <c r="E4" s="16" t="inlineStr">
        <is>
          <t>Pas débutant — balles jaunes, 2 ans</t>
        </is>
      </c>
      <c r="F4" s="17" t="n">
        <v>46172</v>
      </c>
      <c r="G4" s="16" t="inlineStr">
        <is>
          <t>0471 25 39 60 / papa 0471 25 14 53 — réf. Thomas Wagner</t>
        </is>
      </c>
      <c r="H4" s="13" t="inlineStr">
        <is>
          <t>En attente</t>
        </is>
      </c>
      <c r="I4" s="16" t="n"/>
    </row>
    <row r="5" ht="30" customHeight="1">
      <c r="A5" s="18" t="n">
        <v>2</v>
      </c>
      <c r="B5" s="19" t="inlineStr">
        <is>
          <t>MENEROUD Nathaniel</t>
        </is>
      </c>
      <c r="C5" s="20" t="inlineStr">
        <is>
          <t>13 ans</t>
        </is>
      </c>
      <c r="D5" s="21" t="n"/>
      <c r="E5" s="21" t="inlineStr">
        <is>
          <t>Débutant +</t>
        </is>
      </c>
      <c r="F5" s="22" t="n">
        <v>46231</v>
      </c>
      <c r="G5" s="21" t="n"/>
      <c r="H5" s="18" t="inlineStr">
        <is>
          <t>En attente</t>
        </is>
      </c>
      <c r="I5" s="21" t="n"/>
    </row>
    <row r="6" ht="30" customHeight="1">
      <c r="A6" s="13" t="n">
        <v>3</v>
      </c>
      <c r="B6" s="14" t="inlineStr">
        <is>
          <t>BLAKAJ Alisa</t>
        </is>
      </c>
      <c r="C6" s="15" t="inlineStr">
        <is>
          <t>03/02/2012 — 14 ans</t>
        </is>
      </c>
      <c r="D6" s="16" t="n"/>
      <c r="E6" s="16" t="inlineStr">
        <is>
          <t>Jaune — débutante</t>
        </is>
      </c>
      <c r="F6" s="17" t="n"/>
      <c r="G6" s="16" t="inlineStr">
        <is>
          <t>0486 16 85 34 — feuille non datée</t>
        </is>
      </c>
      <c r="H6" s="13" t="inlineStr">
        <is>
          <t>En attente</t>
        </is>
      </c>
      <c r="I6" s="16" t="n"/>
    </row>
    <row r="7" ht="30" customHeight="1">
      <c r="A7" s="18" t="n">
        <v>4</v>
      </c>
      <c r="B7" s="19" t="inlineStr">
        <is>
          <t>LATTEUR Paula</t>
        </is>
      </c>
      <c r="C7" s="20" t="inlineStr">
        <is>
          <t>2012 — 14 ans</t>
        </is>
      </c>
      <c r="D7" s="21" t="inlineStr">
        <is>
          <t>2 × 1h30</t>
        </is>
      </c>
      <c r="E7" s="21" t="inlineStr">
        <is>
          <t>Carpet</t>
        </is>
      </c>
      <c r="F7" s="22" t="n"/>
      <c r="G7" s="21" t="inlineStr">
        <is>
          <t>Feuille non datée</t>
        </is>
      </c>
      <c r="H7" s="18" t="inlineStr">
        <is>
          <t>En attente</t>
        </is>
      </c>
      <c r="I7" s="21" t="n"/>
    </row>
  </sheetData>
  <autoFilter ref="A3:I7"/>
  <mergeCells count="2">
    <mergeCell ref="A1:I1"/>
    <mergeCell ref="A2:I2"/>
  </mergeCells>
  <conditionalFormatting sqref="A4:I7">
    <cfRule type="expression" priority="1" dxfId="0">
      <formula>$H4="Inscrit"</formula>
    </cfRule>
    <cfRule type="expression" priority="2" dxfId="1">
      <formula>$H4="Désisté"</formula>
    </cfRule>
    <cfRule type="expression" priority="3" dxfId="2">
      <formula>$H4="Contacté"</formula>
    </cfRule>
  </conditionalFormatting>
  <dataValidations count="1">
    <dataValidation sqref="H4:H47" showDropDown="0" showInputMessage="0" showErrorMessage="0" allowBlank="1" error="Choisissez une valeur dans la liste." prompt="Sélectionnez le statut" type="list">
      <formula1>"En attente,Contacté,Inscrit,Désisté,Sans réponse"</formula1>
    </dataValidation>
  </dataValidation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2" customWidth="1" min="3" max="3"/>
    <col width="42" customWidth="1" min="4" max="4"/>
    <col width="28" customWidth="1" min="5" max="5"/>
    <col width="14" customWidth="1" min="6" max="6"/>
    <col width="44" customWidth="1" min="7" max="7"/>
    <col width="14" customWidth="1" min="8" max="8"/>
    <col width="28" customWidth="1" min="9" max="9"/>
  </cols>
  <sheetData>
    <row r="1">
      <c r="A1" s="11" t="inlineStr">
        <is>
          <t>Liste d'attente — JEUNES 15 à 16 ans</t>
        </is>
      </c>
    </row>
    <row r="2">
      <c r="A2" s="12" t="inlineStr">
        <is>
          <t>Cycle 2026-2027 — 5 demande(s) — classées par date de demande</t>
        </is>
      </c>
    </row>
    <row r="3" ht="30" customHeight="1">
      <c r="A3" s="6" t="inlineStr">
        <is>
          <t>N°</t>
        </is>
      </c>
      <c r="B3" s="6" t="inlineStr">
        <is>
          <t>Nom</t>
        </is>
      </c>
      <c r="C3" s="6" t="inlineStr">
        <is>
          <t>Âge / naissance</t>
        </is>
      </c>
      <c r="D3" s="6" t="inlineStr">
        <is>
          <t>Disponibilités</t>
        </is>
      </c>
      <c r="E3" s="6" t="inlineStr">
        <is>
          <t>Niveau</t>
        </is>
      </c>
      <c r="F3" s="6" t="inlineStr">
        <is>
          <t>Date demande</t>
        </is>
      </c>
      <c r="G3" s="6" t="inlineStr">
        <is>
          <t>Remarques</t>
        </is>
      </c>
      <c r="H3" s="6" t="inlineStr">
        <is>
          <t>Statut</t>
        </is>
      </c>
      <c r="I3" s="6" t="inlineStr">
        <is>
          <t>Notes de suivi</t>
        </is>
      </c>
    </row>
    <row r="4" ht="30" customHeight="1">
      <c r="A4" s="13" t="n">
        <v>1</v>
      </c>
      <c r="B4" s="14" t="inlineStr">
        <is>
          <t>ZOFFOLI (fils de Fanny)</t>
        </is>
      </c>
      <c r="C4" s="15" t="inlineStr">
        <is>
          <t>15 ans</t>
        </is>
      </c>
      <c r="D4" s="16" t="n"/>
      <c r="E4" s="16" t="inlineStr">
        <is>
          <t>8 ans de tennis</t>
        </is>
      </c>
      <c r="F4" s="17" t="n">
        <v>46205</v>
      </c>
      <c r="G4" s="16" t="inlineStr">
        <is>
          <t>Doublon possible avec Flavio Zoffoli — à vérifier</t>
        </is>
      </c>
      <c r="H4" s="13" t="inlineStr">
        <is>
          <t>En attente</t>
        </is>
      </c>
      <c r="I4" s="16" t="n"/>
    </row>
    <row r="5" ht="30" customHeight="1">
      <c r="A5" s="18" t="n">
        <v>2</v>
      </c>
      <c r="B5" s="19" t="inlineStr">
        <is>
          <t>RONDOT Loïs-Théophile</t>
        </is>
      </c>
      <c r="C5" s="20" t="inlineStr">
        <is>
          <t>12/04/2011 — 15 ans</t>
        </is>
      </c>
      <c r="D5" s="21" t="inlineStr">
        <is>
          <t>Lundi, mardi, jeudi soir</t>
        </is>
      </c>
      <c r="E5" s="21" t="inlineStr">
        <is>
          <t>Jaune — 2 ans de tennis</t>
        </is>
      </c>
      <c r="F5" s="22" t="n">
        <v>46208</v>
      </c>
      <c r="G5" s="21" t="inlineStr">
        <is>
          <t>0486 78 67 78 — fratrie Rondot</t>
        </is>
      </c>
      <c r="H5" s="18" t="inlineStr">
        <is>
          <t>En attente</t>
        </is>
      </c>
      <c r="I5" s="21" t="n"/>
    </row>
    <row r="6" ht="30" customHeight="1">
      <c r="A6" s="13" t="n">
        <v>3</v>
      </c>
      <c r="B6" s="14" t="inlineStr">
        <is>
          <t>ZOFFOLI Flavio</t>
        </is>
      </c>
      <c r="C6" s="15" t="inlineStr">
        <is>
          <t>15 ans</t>
        </is>
      </c>
      <c r="D6" s="16" t="inlineStr">
        <is>
          <t>Tous les jours après 17h + week-end</t>
        </is>
      </c>
      <c r="E6" s="16" t="inlineStr">
        <is>
          <t>7 ans de tennis</t>
        </is>
      </c>
      <c r="F6" s="17" t="n">
        <v>46208</v>
      </c>
      <c r="G6" s="16" t="inlineStr">
        <is>
          <t>Doublon possible avec la ligne du 02/07 — à vérifier</t>
        </is>
      </c>
      <c r="H6" s="13" t="inlineStr">
        <is>
          <t>En attente</t>
        </is>
      </c>
      <c r="I6" s="16" t="n"/>
    </row>
    <row r="7" ht="30" customHeight="1">
      <c r="A7" s="18" t="n">
        <v>4</v>
      </c>
      <c r="B7" s="19" t="inlineStr">
        <is>
          <t>BAILLY (fille de Deborah)</t>
        </is>
      </c>
      <c r="C7" s="20" t="inlineStr">
        <is>
          <t>2010 — 16 ans</t>
        </is>
      </c>
      <c r="D7" s="21" t="inlineStr">
        <is>
          <t>Après 17h30 + samedi</t>
        </is>
      </c>
      <c r="E7" s="21" t="inlineStr">
        <is>
          <t>Non précisé</t>
        </is>
      </c>
      <c r="F7" s="22" t="n">
        <v>46265</v>
      </c>
      <c r="G7" s="21" t="inlineStr">
        <is>
          <t>Prénom de l'enfant à obtenir</t>
        </is>
      </c>
      <c r="H7" s="18" t="inlineStr">
        <is>
          <t>En attente</t>
        </is>
      </c>
      <c r="I7" s="21" t="n"/>
    </row>
    <row r="8" ht="30" customHeight="1">
      <c r="A8" s="13" t="n">
        <v>5</v>
      </c>
      <c r="B8" s="14" t="inlineStr">
        <is>
          <t>DE LEVAL Leia</t>
        </is>
      </c>
      <c r="C8" s="15" t="inlineStr">
        <is>
          <t>2011 — 15 ans</t>
        </is>
      </c>
      <c r="D8" s="16" t="n"/>
      <c r="E8" s="16" t="inlineStr">
        <is>
          <t>Débutante ++</t>
        </is>
      </c>
      <c r="F8" s="17" t="n">
        <v>46265</v>
      </c>
      <c r="G8" s="16" t="n"/>
      <c r="H8" s="13" t="inlineStr">
        <is>
          <t>En attente</t>
        </is>
      </c>
      <c r="I8" s="16" t="n"/>
    </row>
  </sheetData>
  <autoFilter ref="A3:I8"/>
  <mergeCells count="2">
    <mergeCell ref="A1:I1"/>
    <mergeCell ref="A2:I2"/>
  </mergeCells>
  <conditionalFormatting sqref="A4:I8">
    <cfRule type="expression" priority="1" dxfId="0">
      <formula>$H4="Inscrit"</formula>
    </cfRule>
    <cfRule type="expression" priority="2" dxfId="1">
      <formula>$H4="Désisté"</formula>
    </cfRule>
    <cfRule type="expression" priority="3" dxfId="2">
      <formula>$H4="Contacté"</formula>
    </cfRule>
  </conditionalFormatting>
  <dataValidations count="1">
    <dataValidation sqref="H4:H48" showDropDown="0" showInputMessage="0" showErrorMessage="0" allowBlank="1" error="Choisissez une valeur dans la liste." prompt="Sélectionnez le statut" type="list">
      <formula1>"En attente,Contacté,Inscrit,Désisté,Sans réponse"</formula1>
    </dataValidation>
  </dataValidation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2" customWidth="1" min="3" max="3"/>
    <col width="42" customWidth="1" min="4" max="4"/>
    <col width="28" customWidth="1" min="5" max="5"/>
    <col width="14" customWidth="1" min="6" max="6"/>
    <col width="44" customWidth="1" min="7" max="7"/>
    <col width="14" customWidth="1" min="8" max="8"/>
    <col width="28" customWidth="1" min="9" max="9"/>
  </cols>
  <sheetData>
    <row r="1">
      <c r="A1" s="11" t="inlineStr">
        <is>
          <t>Liste d'attente — JEUNES 17 à 18 ans</t>
        </is>
      </c>
    </row>
    <row r="2">
      <c r="A2" s="12" t="inlineStr">
        <is>
          <t>Cycle 2026-2027 — 1 demande(s) — classées par date de demande</t>
        </is>
      </c>
    </row>
    <row r="3" ht="30" customHeight="1">
      <c r="A3" s="6" t="inlineStr">
        <is>
          <t>N°</t>
        </is>
      </c>
      <c r="B3" s="6" t="inlineStr">
        <is>
          <t>Nom</t>
        </is>
      </c>
      <c r="C3" s="6" t="inlineStr">
        <is>
          <t>Âge / naissance</t>
        </is>
      </c>
      <c r="D3" s="6" t="inlineStr">
        <is>
          <t>Disponibilités</t>
        </is>
      </c>
      <c r="E3" s="6" t="inlineStr">
        <is>
          <t>Niveau</t>
        </is>
      </c>
      <c r="F3" s="6" t="inlineStr">
        <is>
          <t>Date demande</t>
        </is>
      </c>
      <c r="G3" s="6" t="inlineStr">
        <is>
          <t>Remarques</t>
        </is>
      </c>
      <c r="H3" s="6" t="inlineStr">
        <is>
          <t>Statut</t>
        </is>
      </c>
      <c r="I3" s="6" t="inlineStr">
        <is>
          <t>Notes de suivi</t>
        </is>
      </c>
    </row>
    <row r="4" ht="30" customHeight="1">
      <c r="A4" s="13" t="n">
        <v>1</v>
      </c>
      <c r="B4" s="14" t="inlineStr">
        <is>
          <t>BOETTER Viktor (?)</t>
        </is>
      </c>
      <c r="C4" s="15" t="inlineStr">
        <is>
          <t>17 ans</t>
        </is>
      </c>
      <c r="D4" s="16" t="inlineStr">
        <is>
          <t>Pas le samedi</t>
        </is>
      </c>
      <c r="E4" s="16" t="inlineStr">
        <is>
          <t>Jaune</t>
        </is>
      </c>
      <c r="F4" s="17" t="n"/>
      <c r="G4" s="16" t="inlineStr">
        <is>
          <t>Nom de famille à confirmer — feuille non datée</t>
        </is>
      </c>
      <c r="H4" s="13" t="inlineStr">
        <is>
          <t>En attente</t>
        </is>
      </c>
      <c r="I4" s="16" t="n"/>
    </row>
  </sheetData>
  <autoFilter ref="A3:I4"/>
  <mergeCells count="2">
    <mergeCell ref="A1:I1"/>
    <mergeCell ref="A2:I2"/>
  </mergeCells>
  <conditionalFormatting sqref="A4:I4">
    <cfRule type="expression" priority="1" dxfId="0">
      <formula>$H4="Inscrit"</formula>
    </cfRule>
    <cfRule type="expression" priority="2" dxfId="1">
      <formula>$H4="Désisté"</formula>
    </cfRule>
    <cfRule type="expression" priority="3" dxfId="2">
      <formula>$H4="Contacté"</formula>
    </cfRule>
  </conditionalFormatting>
  <dataValidations count="1">
    <dataValidation sqref="H4:H44" showDropDown="0" showInputMessage="0" showErrorMessage="0" allowBlank="1" error="Choisissez une valeur dans la liste." prompt="Sélectionnez le statut" type="list">
      <formula1>"En attente,Contacté,Inscrit,Désisté,Sans réponse"</formula1>
    </dataValidation>
  </dataValidation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2" customWidth="1" min="3" max="3"/>
    <col width="42" customWidth="1" min="4" max="4"/>
    <col width="28" customWidth="1" min="5" max="5"/>
    <col width="14" customWidth="1" min="6" max="6"/>
    <col width="44" customWidth="1" min="7" max="7"/>
    <col width="14" customWidth="1" min="8" max="8"/>
    <col width="28" customWidth="1" min="9" max="9"/>
  </cols>
  <sheetData>
    <row r="1">
      <c r="A1" s="11" t="inlineStr">
        <is>
          <t>Liste d'attente — ÂGE À PRÉCISER</t>
        </is>
      </c>
    </row>
    <row r="2">
      <c r="A2" s="12" t="inlineStr">
        <is>
          <t>Cycle 2026-2027 — 7 demande(s) — classées par date de demande</t>
        </is>
      </c>
    </row>
    <row r="3" ht="30" customHeight="1">
      <c r="A3" s="6" t="inlineStr">
        <is>
          <t>N°</t>
        </is>
      </c>
      <c r="B3" s="6" t="inlineStr">
        <is>
          <t>Nom</t>
        </is>
      </c>
      <c r="C3" s="6" t="inlineStr">
        <is>
          <t>Âge / naissance</t>
        </is>
      </c>
      <c r="D3" s="6" t="inlineStr">
        <is>
          <t>Disponibilités</t>
        </is>
      </c>
      <c r="E3" s="6" t="inlineStr">
        <is>
          <t>Niveau</t>
        </is>
      </c>
      <c r="F3" s="6" t="inlineStr">
        <is>
          <t>Date demande</t>
        </is>
      </c>
      <c r="G3" s="6" t="inlineStr">
        <is>
          <t>Remarques</t>
        </is>
      </c>
      <c r="H3" s="6" t="inlineStr">
        <is>
          <t>Statut</t>
        </is>
      </c>
      <c r="I3" s="6" t="inlineStr">
        <is>
          <t>Notes de suivi</t>
        </is>
      </c>
    </row>
    <row r="4" ht="30" customHeight="1">
      <c r="A4" s="13" t="n">
        <v>1</v>
      </c>
      <c r="B4" s="14" t="inlineStr">
        <is>
          <t>DEGESELLE Alban</t>
        </is>
      </c>
      <c r="C4" s="15" t="inlineStr">
        <is>
          <t>Âge inconnu</t>
        </is>
      </c>
      <c r="D4" s="16" t="n"/>
      <c r="E4" s="16" t="inlineStr">
        <is>
          <t>Bon joueur → Carpet</t>
        </is>
      </c>
      <c r="F4" s="17" t="n">
        <v>46240</v>
      </c>
      <c r="G4" s="16" t="inlineStr">
        <is>
          <t>Âge à demander</t>
        </is>
      </c>
      <c r="H4" s="13" t="inlineStr">
        <is>
          <t>En attente</t>
        </is>
      </c>
      <c r="I4" s="16" t="n"/>
    </row>
    <row r="5" ht="30" customHeight="1">
      <c r="A5" s="18" t="n">
        <v>2</v>
      </c>
      <c r="B5" s="19" t="inlineStr">
        <is>
          <t>PARIS (2 frères)</t>
        </is>
      </c>
      <c r="C5" s="20" t="inlineStr">
        <is>
          <t>Âge inconnu</t>
        </is>
      </c>
      <c r="D5" s="21" t="inlineStr">
        <is>
          <t>Pas le samedi</t>
        </is>
      </c>
      <c r="E5" s="21" t="inlineStr">
        <is>
          <t>Jaune</t>
        </is>
      </c>
      <c r="F5" s="22" t="n"/>
      <c r="G5" s="21" t="inlineStr">
        <is>
          <t>2 enfants — âges à demander</t>
        </is>
      </c>
      <c r="H5" s="18" t="inlineStr">
        <is>
          <t>En attente</t>
        </is>
      </c>
      <c r="I5" s="21" t="n"/>
    </row>
    <row r="6" ht="30" customHeight="1">
      <c r="A6" s="13" t="n">
        <v>3</v>
      </c>
      <c r="B6" s="14" t="inlineStr">
        <is>
          <t>NIEUWENHUYS Junie</t>
        </is>
      </c>
      <c r="C6" s="15" t="inlineStr">
        <is>
          <t>Âge inconnu</t>
        </is>
      </c>
      <c r="D6" s="16" t="inlineStr">
        <is>
          <t>Lun., mar., jeu. après 17h ; mer. après 15h</t>
        </is>
      </c>
      <c r="E6" s="16" t="inlineStr">
        <is>
          <t>Jaune</t>
        </is>
      </c>
      <c r="F6" s="17" t="n"/>
      <c r="G6" s="16" t="inlineStr">
        <is>
          <t>Feuille non datée</t>
        </is>
      </c>
      <c r="H6" s="13" t="inlineStr">
        <is>
          <t>En attente</t>
        </is>
      </c>
      <c r="I6" s="16" t="n"/>
    </row>
    <row r="7" ht="30" customHeight="1">
      <c r="A7" s="18" t="n">
        <v>4</v>
      </c>
      <c r="B7" s="19" t="inlineStr">
        <is>
          <t>VIGNO Sohane</t>
        </is>
      </c>
      <c r="C7" s="20" t="inlineStr">
        <is>
          <t>Âge inconnu</t>
        </is>
      </c>
      <c r="D7" s="21" t="inlineStr">
        <is>
          <t>Samedi</t>
        </is>
      </c>
      <c r="E7" s="21" t="inlineStr">
        <is>
          <t>Vert (balles vertes)</t>
        </is>
      </c>
      <c r="F7" s="22" t="n"/>
      <c r="G7" s="21" t="inlineStr">
        <is>
          <t>Feuille non datée</t>
        </is>
      </c>
      <c r="H7" s="18" t="inlineStr">
        <is>
          <t>En attente</t>
        </is>
      </c>
      <c r="I7" s="21" t="n"/>
    </row>
    <row r="8" ht="30" customHeight="1">
      <c r="A8" s="13" t="n">
        <v>5</v>
      </c>
      <c r="B8" s="14" t="inlineStr">
        <is>
          <t>SCHOPP Adrien</t>
        </is>
      </c>
      <c r="C8" s="15" t="inlineStr">
        <is>
          <t>Âge inconnu</t>
        </is>
      </c>
      <c r="D8" s="16" t="inlineStr">
        <is>
          <t>Tous les jours sauf le samedi</t>
        </is>
      </c>
      <c r="E8" s="16" t="inlineStr">
        <is>
          <t>Jaune</t>
        </is>
      </c>
      <c r="F8" s="17" t="n"/>
      <c r="G8" s="16" t="inlineStr">
        <is>
          <t>À inscrire ENSEMBLE avec Diego Guttierez</t>
        </is>
      </c>
      <c r="H8" s="13" t="inlineStr">
        <is>
          <t>En attente</t>
        </is>
      </c>
      <c r="I8" s="16" t="n"/>
    </row>
    <row r="9" ht="30" customHeight="1">
      <c r="A9" s="18" t="n">
        <v>6</v>
      </c>
      <c r="B9" s="19" t="inlineStr">
        <is>
          <t>DE COSTER Théo (fils de Gilles)</t>
        </is>
      </c>
      <c r="C9" s="20" t="inlineStr">
        <is>
          <t>Âge inconnu</t>
        </is>
      </c>
      <c r="D9" s="21" t="n"/>
      <c r="E9" s="21" t="inlineStr">
        <is>
          <t>Jaune — « 13.2 / League Cup »</t>
        </is>
      </c>
      <c r="F9" s="22" t="n"/>
      <c r="G9" s="21" t="inlineStr">
        <is>
          <t>Mention « 13.2 » à clarifier</t>
        </is>
      </c>
      <c r="H9" s="18" t="inlineStr">
        <is>
          <t>En attente</t>
        </is>
      </c>
      <c r="I9" s="21" t="n"/>
    </row>
    <row r="10" ht="30" customHeight="1">
      <c r="A10" s="13" t="n">
        <v>7</v>
      </c>
      <c r="B10" s="14" t="inlineStr">
        <is>
          <t>Cousine d'Alma KUKULIS</t>
        </is>
      </c>
      <c r="C10" s="15" t="inlineStr">
        <is>
          <t>Âge inconnu</t>
        </is>
      </c>
      <c r="D10" s="16" t="n"/>
      <c r="E10" s="16" t="inlineStr">
        <is>
          <t>Vert</t>
        </is>
      </c>
      <c r="F10" s="17" t="n"/>
      <c r="G10" s="16" t="inlineStr">
        <is>
          <t>À ajouter aux 2 cours d'Alma — nom à obtenir</t>
        </is>
      </c>
      <c r="H10" s="13" t="inlineStr">
        <is>
          <t>En attente</t>
        </is>
      </c>
      <c r="I10" s="16" t="n"/>
    </row>
  </sheetData>
  <autoFilter ref="A3:I10"/>
  <mergeCells count="2">
    <mergeCell ref="A1:I1"/>
    <mergeCell ref="A2:I2"/>
  </mergeCells>
  <conditionalFormatting sqref="A4:I10">
    <cfRule type="expression" priority="1" dxfId="0">
      <formula>$H4="Inscrit"</formula>
    </cfRule>
    <cfRule type="expression" priority="2" dxfId="1">
      <formula>$H4="Désisté"</formula>
    </cfRule>
    <cfRule type="expression" priority="3" dxfId="2">
      <formula>$H4="Contacté"</formula>
    </cfRule>
  </conditionalFormatting>
  <dataValidations count="1">
    <dataValidation sqref="H4:H50" showDropDown="0" showInputMessage="0" showErrorMessage="0" allowBlank="1" error="Choisissez une valeur dans la liste." prompt="Sélectionnez le statut" type="list">
      <formula1>"En attente,Contacté,Inscrit,Désisté,Sans réponse"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2026-09-02T10:48:52Z</dcterms:created>
  <dcterms:modified xmlns:dcterms="http://purl.org/dc/terms/" xmlns:xsi="http://www.w3.org/2001/XMLSchema-instance" xsi:type="dcterms:W3CDTF">2026-09-02T10:48:52Z</dcterms:modified>
</cp:coreProperties>
</file>