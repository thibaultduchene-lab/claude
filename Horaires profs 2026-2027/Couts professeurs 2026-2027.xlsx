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ûts profs" sheetId="1" state="visible" r:id="rId3"/>
  </sheets>
  <definedNames>
    <definedName function="false" hidden="false" localSheetId="0" name="_xlnm.Print_Titles" vbProcedure="false">'Coûts profs'!$9:$9</definedName>
    <definedName function="false" hidden="true" localSheetId="0" name="_xlnm._FilterDatabase" vbProcedure="false">'Coûts profs'!$A$9:$I$31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<sst xmlns="http://schemas.openxmlformats.org/spreadsheetml/2006/main" count="46" uniqueCount="46">
  <si>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Coût des professeurs — Cycle annuel 2026-2027</t>
  </si>
  <si>
    <t xml:space="preserve">Cours collectifs uniquement. Les cellules bleues et jaunes se modifient, les noires sont calculées.</t>
  </si>
  <si>
    <t xml:space="preserve">Hypothèses</t>
  </si>
  <si>
    <t xml:space="preserve">Semaines de cours par an</t>
  </si>
  <si>
    <t xml:space="preserve">Scénario A — hausse du taux</t>
  </si>
  <si>
    <t xml:space="preserve">Scénario B — hausse du taux</t>
  </si>
  <si>
    <t xml:space="preserve">Professeur</t>
  </si>
  <si>
    <t xml:space="preserve">Heures
collectives</t>
  </si>
  <si>
    <t xml:space="preserve">Coût
horaire</t>
  </si>
  <si>
    <t xml:space="preserve">Coût
semaine</t>
  </si>
  <si>
    <t xml:space="preserve">Coût annuel
actuel</t>
  </si>
  <si>
    <t xml:space="preserve">Scénario A
(+2 €/h)</t>
  </si>
  <si>
    <t xml:space="preserve">Scénario B
(+10 %)</t>
  </si>
  <si>
    <t xml:space="preserve">Taux ciblé
(€/h)</t>
  </si>
  <si>
    <t xml:space="preserve">Coût annuel
ciblé</t>
  </si>
  <si>
    <t xml:space="preserve">Taha Yassine</t>
  </si>
  <si>
    <t xml:space="preserve">Elias Taieb</t>
  </si>
  <si>
    <t xml:space="preserve">Julien Chibli</t>
  </si>
  <si>
    <t xml:space="preserve">Yassine Cherqi</t>
  </si>
  <si>
    <t xml:space="preserve">Mario Loyo</t>
  </si>
  <si>
    <t xml:space="preserve">Philippe Servais</t>
  </si>
  <si>
    <t xml:space="preserve">Loïc Gosse</t>
  </si>
  <si>
    <t xml:space="preserve">Adel Taieb</t>
  </si>
  <si>
    <t xml:space="preserve">Celia Houmid Bennani</t>
  </si>
  <si>
    <t xml:space="preserve">Clement Gregoire</t>
  </si>
  <si>
    <t xml:space="preserve">Mourad Houmid Bennani</t>
  </si>
  <si>
    <t xml:space="preserve">Pascal Denis</t>
  </si>
  <si>
    <t xml:space="preserve">Thibault Duchene</t>
  </si>
  <si>
    <t xml:space="preserve">Alpaslan Celik</t>
  </si>
  <si>
    <t xml:space="preserve">Jeremie Saoul</t>
  </si>
  <si>
    <t xml:space="preserve">Armelle Tiokou</t>
  </si>
  <si>
    <t xml:space="preserve">Guillaume De Schauwers</t>
  </si>
  <si>
    <t xml:space="preserve">Xavier Bureille</t>
  </si>
  <si>
    <t xml:space="preserve">Zeliha Eryilmaz</t>
  </si>
  <si>
    <t xml:space="preserve">Frederic Bedoret</t>
  </si>
  <si>
    <t xml:space="preserve">Jad Lamaizi</t>
  </si>
  <si>
    <t xml:space="preserve">Thibaut Rummens</t>
  </si>
  <si>
    <t xml:space="preserve">Total club</t>
  </si>
  <si>
    <t xml:space="preserve">Écart vs actuel</t>
  </si>
  <si>
    <t xml:space="preserve">Notes</t>
  </si>
  <si>
    <t xml:space="preserve">• Heures collectives : extraction iClub du 07/09/2026 (Cours &gt; Cycle Annuel 2026-2027 &gt; Plan. grp). Les horaires ont pu évoluer depuis — ces chiffres sont une approximation.</t>
  </si>
  <si>
    <t xml:space="preserve">• Un cours est compté en privé, donc exclu d'ici, si son libellé iClub commence par « Privé ». Les cours privés ne sont pas dans ce tableau.</t>
  </si>
  <si>
    <t xml:space="preserve">• Un prof encadrant plusieurs groupes en même temps ne voit cette heure comptée qu'une fois.</t>
  </si>
  <si>
    <t xml:space="preserve">• Coûts horaires : saisis par Thibault Duchêne, non issus d'iClub.</t>
  </si>
  <si>
    <t xml:space="preserve">• Colonne « Taux ciblé » : laissez vide pour garder le taux actuel, ou indiquez le nouveau taux horaire — le coût annuel ciblé se met à jour.</t>
  </si>
  <si>
    <t xml:space="preserve">• Scénario A (+2 €/h) est une hausse uniforme en valeur ; scénario B (+10 %) est proportionnelle. Les deux ne frappent donc pas les mêmes profs de la même façon.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</si>
</sst>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&quot; semaines&quot;"/>
    <numFmt numFmtId="166" formatCode="\+0&quot; €/h&quot;"/>
    <numFmt numFmtId="167" formatCode="\+0\ %"/>
    <numFmt numFmtId="168" formatCode="0.0&quot; h&quot;"/>
    <numFmt numFmtId="169" formatCode="#,##0&quot; €&quot;"/>
    <numFmt numFmtId="170" formatCode="#,##0.00&quot; €&quot;"/>
    <numFmt numFmtId="171" formatCode="\+#,##0&quot; €&quot;;\-#,##0&quot; €&quot;;\—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5FA"/>
      </patternFill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28</v>
      </c>
    </row>
    <row r="6" customFormat="false" ht="15" hidden="false" customHeight="false" outlineLevel="0" collapsed="false">
      <c r="A6" s="4" t="s">
        <v>4</v>
      </c>
      <c r="B6" s="6" t="n">
        <v>2</v>
      </c>
    </row>
    <row r="7" customFormat="false" ht="15" hidden="false" customHeight="false" outlineLevel="0" collapsed="false">
      <c r="A7" s="4" t="s">
        <v>5</v>
      </c>
      <c r="B7" s="7" t="n">
        <v>0.1</v>
      </c>
    </row>
    <row r="9" customFormat="false" ht="31.5" hidden="false" customHeight="true" outlineLevel="0" collapsed="false">
      <c r="A9" s="8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customFormat="false" ht="15" hidden="false" customHeight="false" outlineLevel="0" collapsed="false">
      <c r="A10" s="10" t="s">
        <v>15</v>
      </c>
      <c r="B10" s="11" t="n">
        <v>31.5</v>
      </c>
      <c r="C10" s="12" t="n">
        <v>30</v>
      </c>
      <c r="D10" s="13" t="n">
        <f aca="false">B10*C10</f>
        <v>945</v>
      </c>
      <c r="E10" s="14" t="n">
        <f aca="false">D10*$B$5</f>
        <v>26460</v>
      </c>
      <c r="F10" s="15" t="n">
        <f aca="false">B10*(C10+$B$6)*$B$5</f>
        <v>28224</v>
      </c>
      <c r="G10" s="15" t="n">
        <f aca="false">E10*(1+$B$7)</f>
        <v>29106</v>
      </c>
      <c r="H10" s="16"/>
      <c r="I10" s="15" t="n">
        <f aca="false">B10*IF(H10="",C10,H10)*$B$5</f>
        <v>26460</v>
      </c>
    </row>
    <row r="11" customFormat="false" ht="15" hidden="false" customHeight="false" outlineLevel="0" collapsed="false">
      <c r="A11" s="17" t="s">
        <v>16</v>
      </c>
      <c r="B11" s="18" t="n">
        <v>27</v>
      </c>
      <c r="C11" s="19" t="n">
        <v>27</v>
      </c>
      <c r="D11" s="20" t="n">
        <f aca="false">B11*C11</f>
        <v>729</v>
      </c>
      <c r="E11" s="21" t="n">
        <f aca="false">D11*$B$5</f>
        <v>20412</v>
      </c>
      <c r="F11" s="22" t="n">
        <f aca="false">B11*(C11+$B$6)*$B$5</f>
        <v>21924</v>
      </c>
      <c r="G11" s="22" t="n">
        <f aca="false">E11*(1+$B$7)</f>
        <v>22453.2</v>
      </c>
      <c r="H11" s="16"/>
      <c r="I11" s="22" t="n">
        <f aca="false">B11*IF(H11="",C11,H11)*$B$5</f>
        <v>20412</v>
      </c>
    </row>
    <row r="12" customFormat="false" ht="15" hidden="false" customHeight="false" outlineLevel="0" collapsed="false">
      <c r="A12" s="10" t="s">
        <v>17</v>
      </c>
      <c r="B12" s="11" t="n">
        <v>26</v>
      </c>
      <c r="C12" s="12" t="n">
        <v>27</v>
      </c>
      <c r="D12" s="13" t="n">
        <f aca="false">B12*C12</f>
        <v>702</v>
      </c>
      <c r="E12" s="14" t="n">
        <f aca="false">D12*$B$5</f>
        <v>19656</v>
      </c>
      <c r="F12" s="15" t="n">
        <f aca="false">B12*(C12+$B$6)*$B$5</f>
        <v>21112</v>
      </c>
      <c r="G12" s="15" t="n">
        <f aca="false">E12*(1+$B$7)</f>
        <v>21621.6</v>
      </c>
      <c r="H12" s="16"/>
      <c r="I12" s="15" t="n">
        <f aca="false">B12*IF(H12="",C12,H12)*$B$5</f>
        <v>19656</v>
      </c>
    </row>
    <row r="13" customFormat="false" ht="15" hidden="false" customHeight="false" outlineLevel="0" collapsed="false">
      <c r="A13" s="17" t="s">
        <v>18</v>
      </c>
      <c r="B13" s="18" t="n">
        <v>25</v>
      </c>
      <c r="C13" s="19" t="n">
        <v>35</v>
      </c>
      <c r="D13" s="20" t="n">
        <f aca="false">B13*C13</f>
        <v>875</v>
      </c>
      <c r="E13" s="21" t="n">
        <f aca="false">D13*$B$5</f>
        <v>24500</v>
      </c>
      <c r="F13" s="22" t="n">
        <f aca="false">B13*(C13+$B$6)*$B$5</f>
        <v>25900</v>
      </c>
      <c r="G13" s="22" t="n">
        <f aca="false">E13*(1+$B$7)</f>
        <v>26950</v>
      </c>
      <c r="H13" s="16"/>
      <c r="I13" s="22" t="n">
        <f aca="false">B13*IF(H13="",C13,H13)*$B$5</f>
        <v>24500</v>
      </c>
    </row>
    <row r="14" customFormat="false" ht="15" hidden="false" customHeight="false" outlineLevel="0" collapsed="false">
      <c r="A14" s="10" t="s">
        <v>19</v>
      </c>
      <c r="B14" s="11" t="n">
        <v>17</v>
      </c>
      <c r="C14" s="12" t="n">
        <v>25</v>
      </c>
      <c r="D14" s="13" t="n">
        <f aca="false">B14*C14</f>
        <v>425</v>
      </c>
      <c r="E14" s="14" t="n">
        <f aca="false">D14*$B$5</f>
        <v>11900</v>
      </c>
      <c r="F14" s="15" t="n">
        <f aca="false">B14*(C14+$B$6)*$B$5</f>
        <v>12852</v>
      </c>
      <c r="G14" s="15" t="n">
        <f aca="false">E14*(1+$B$7)</f>
        <v>13090</v>
      </c>
      <c r="H14" s="16"/>
      <c r="I14" s="15" t="n">
        <f aca="false">B14*IF(H14="",C14,H14)*$B$5</f>
        <v>11900</v>
      </c>
    </row>
    <row r="15" customFormat="false" ht="15" hidden="false" customHeight="false" outlineLevel="0" collapsed="false">
      <c r="A15" s="17" t="s">
        <v>20</v>
      </c>
      <c r="B15" s="18" t="n">
        <v>6.5</v>
      </c>
      <c r="C15" s="19" t="n">
        <v>27</v>
      </c>
      <c r="D15" s="20" t="n">
        <f aca="false">B15*C15</f>
        <v>175.5</v>
      </c>
      <c r="E15" s="21" t="n">
        <f aca="false">D15*$B$5</f>
        <v>4914</v>
      </c>
      <c r="F15" s="22" t="n">
        <f aca="false">B15*(C15+$B$6)*$B$5</f>
        <v>5278</v>
      </c>
      <c r="G15" s="22" t="n">
        <f aca="false">E15*(1+$B$7)</f>
        <v>5405.4</v>
      </c>
      <c r="H15" s="16"/>
      <c r="I15" s="22" t="n">
        <f aca="false">B15*IF(H15="",C15,H15)*$B$5</f>
        <v>4914</v>
      </c>
    </row>
    <row r="16" customFormat="false" ht="15" hidden="false" customHeight="false" outlineLevel="0" collapsed="false">
      <c r="A16" s="10" t="s">
        <v>21</v>
      </c>
      <c r="B16" s="11" t="n">
        <v>5.5</v>
      </c>
      <c r="C16" s="12" t="n">
        <v>50</v>
      </c>
      <c r="D16" s="13" t="n">
        <f aca="false">B16*C16</f>
        <v>275</v>
      </c>
      <c r="E16" s="14" t="n">
        <f aca="false">D16*$B$5</f>
        <v>7700</v>
      </c>
      <c r="F16" s="15" t="n">
        <f aca="false">B16*(C16+$B$6)*$B$5</f>
        <v>8008</v>
      </c>
      <c r="G16" s="15" t="n">
        <f aca="false">E16*(1+$B$7)</f>
        <v>8470</v>
      </c>
      <c r="H16" s="16"/>
      <c r="I16" s="15" t="n">
        <f aca="false">B16*IF(H16="",C16,H16)*$B$5</f>
        <v>7700</v>
      </c>
    </row>
    <row r="17" customFormat="false" ht="15" hidden="false" customHeight="false" outlineLevel="0" collapsed="false">
      <c r="A17" s="17" t="s">
        <v>22</v>
      </c>
      <c r="B17" s="18" t="n">
        <v>5</v>
      </c>
      <c r="C17" s="19" t="n">
        <v>25</v>
      </c>
      <c r="D17" s="20" t="n">
        <f aca="false">B17*C17</f>
        <v>125</v>
      </c>
      <c r="E17" s="21" t="n">
        <f aca="false">D17*$B$5</f>
        <v>3500</v>
      </c>
      <c r="F17" s="22" t="n">
        <f aca="false">B17*(C17+$B$6)*$B$5</f>
        <v>3780</v>
      </c>
      <c r="G17" s="22" t="n">
        <f aca="false">E17*(1+$B$7)</f>
        <v>3850</v>
      </c>
      <c r="H17" s="16"/>
      <c r="I17" s="22" t="n">
        <f aca="false">B17*IF(H17="",C17,H17)*$B$5</f>
        <v>3500</v>
      </c>
    </row>
    <row r="18" customFormat="false" ht="15" hidden="false" customHeight="false" outlineLevel="0" collapsed="false">
      <c r="A18" s="10" t="s">
        <v>23</v>
      </c>
      <c r="B18" s="11" t="n">
        <v>4.5</v>
      </c>
      <c r="C18" s="12" t="n">
        <v>25</v>
      </c>
      <c r="D18" s="13" t="n">
        <f aca="false">B18*C18</f>
        <v>112.5</v>
      </c>
      <c r="E18" s="14" t="n">
        <f aca="false">D18*$B$5</f>
        <v>3150</v>
      </c>
      <c r="F18" s="15" t="n">
        <f aca="false">B18*(C18+$B$6)*$B$5</f>
        <v>3402</v>
      </c>
      <c r="G18" s="15" t="n">
        <f aca="false">E18*(1+$B$7)</f>
        <v>3465</v>
      </c>
      <c r="H18" s="16"/>
      <c r="I18" s="15" t="n">
        <f aca="false">B18*IF(H18="",C18,H18)*$B$5</f>
        <v>3150</v>
      </c>
    </row>
    <row r="19" customFormat="false" ht="15" hidden="false" customHeight="false" outlineLevel="0" collapsed="false">
      <c r="A19" s="17" t="s">
        <v>24</v>
      </c>
      <c r="B19" s="18" t="n">
        <v>4.5</v>
      </c>
      <c r="C19" s="19" t="n">
        <v>27</v>
      </c>
      <c r="D19" s="20" t="n">
        <f aca="false">B19*C19</f>
        <v>121.5</v>
      </c>
      <c r="E19" s="21" t="n">
        <f aca="false">D19*$B$5</f>
        <v>3402</v>
      </c>
      <c r="F19" s="22" t="n">
        <f aca="false">B19*(C19+$B$6)*$B$5</f>
        <v>3654</v>
      </c>
      <c r="G19" s="22" t="n">
        <f aca="false">E19*(1+$B$7)</f>
        <v>3742.2</v>
      </c>
      <c r="H19" s="16"/>
      <c r="I19" s="22" t="n">
        <f aca="false">B19*IF(H19="",C19,H19)*$B$5</f>
        <v>3402</v>
      </c>
    </row>
    <row r="20" customFormat="false" ht="15" hidden="false" customHeight="false" outlineLevel="0" collapsed="false">
      <c r="A20" s="10" t="s">
        <v>25</v>
      </c>
      <c r="B20" s="11" t="n">
        <v>4.5</v>
      </c>
      <c r="C20" s="12" t="n">
        <v>30</v>
      </c>
      <c r="D20" s="13" t="n">
        <f aca="false">B20*C20</f>
        <v>135</v>
      </c>
      <c r="E20" s="14" t="n">
        <f aca="false">D20*$B$5</f>
        <v>3780</v>
      </c>
      <c r="F20" s="15" t="n">
        <f aca="false">B20*(C20+$B$6)*$B$5</f>
        <v>4032</v>
      </c>
      <c r="G20" s="15" t="n">
        <f aca="false">E20*(1+$B$7)</f>
        <v>4158</v>
      </c>
      <c r="H20" s="16"/>
      <c r="I20" s="15" t="n">
        <f aca="false">B20*IF(H20="",C20,H20)*$B$5</f>
        <v>3780</v>
      </c>
    </row>
    <row r="21" customFormat="false" ht="15" hidden="false" customHeight="false" outlineLevel="0" collapsed="false">
      <c r="A21" s="17" t="s">
        <v>26</v>
      </c>
      <c r="B21" s="18" t="n">
        <v>3.5</v>
      </c>
      <c r="C21" s="19" t="n">
        <v>27</v>
      </c>
      <c r="D21" s="20" t="n">
        <f aca="false">B21*C21</f>
        <v>94.5</v>
      </c>
      <c r="E21" s="21" t="n">
        <f aca="false">D21*$B$5</f>
        <v>2646</v>
      </c>
      <c r="F21" s="22" t="n">
        <f aca="false">B21*(C21+$B$6)*$B$5</f>
        <v>2842</v>
      </c>
      <c r="G21" s="22" t="n">
        <f aca="false">E21*(1+$B$7)</f>
        <v>2910.6</v>
      </c>
      <c r="H21" s="16"/>
      <c r="I21" s="22" t="n">
        <f aca="false">B21*IF(H21="",C21,H21)*$B$5</f>
        <v>2646</v>
      </c>
    </row>
    <row r="22" customFormat="false" ht="15" hidden="false" customHeight="false" outlineLevel="0" collapsed="false">
      <c r="A22" s="10" t="s">
        <v>27</v>
      </c>
      <c r="B22" s="11" t="n">
        <v>3</v>
      </c>
      <c r="C22" s="12" t="n">
        <v>35</v>
      </c>
      <c r="D22" s="13" t="n">
        <f aca="false">B22*C22</f>
        <v>105</v>
      </c>
      <c r="E22" s="14" t="n">
        <f aca="false">D22*$B$5</f>
        <v>2940</v>
      </c>
      <c r="F22" s="15" t="n">
        <f aca="false">B22*(C22+$B$6)*$B$5</f>
        <v>3108</v>
      </c>
      <c r="G22" s="15" t="n">
        <f aca="false">E22*(1+$B$7)</f>
        <v>3234</v>
      </c>
      <c r="H22" s="16"/>
      <c r="I22" s="15" t="n">
        <f aca="false">B22*IF(H22="",C22,H22)*$B$5</f>
        <v>2940</v>
      </c>
    </row>
    <row r="23" customFormat="false" ht="15" hidden="false" customHeight="false" outlineLevel="0" collapsed="false">
      <c r="A23" s="17" t="s">
        <v>28</v>
      </c>
      <c r="B23" s="18" t="n">
        <v>3</v>
      </c>
      <c r="C23" s="19" t="n">
        <v>27</v>
      </c>
      <c r="D23" s="20" t="n">
        <f aca="false">B23*C23</f>
        <v>81</v>
      </c>
      <c r="E23" s="21" t="n">
        <f aca="false">D23*$B$5</f>
        <v>2268</v>
      </c>
      <c r="F23" s="22" t="n">
        <f aca="false">B23*(C23+$B$6)*$B$5</f>
        <v>2436</v>
      </c>
      <c r="G23" s="22" t="n">
        <f aca="false">E23*(1+$B$7)</f>
        <v>2494.8</v>
      </c>
      <c r="H23" s="16"/>
      <c r="I23" s="22" t="n">
        <f aca="false">B23*IF(H23="",C23,H23)*$B$5</f>
        <v>2268</v>
      </c>
    </row>
    <row r="24" customFormat="false" ht="15" hidden="false" customHeight="false" outlineLevel="0" collapsed="false">
      <c r="A24" s="10" t="s">
        <v>29</v>
      </c>
      <c r="B24" s="11" t="n">
        <v>2.5</v>
      </c>
      <c r="C24" s="12" t="n">
        <v>27</v>
      </c>
      <c r="D24" s="13" t="n">
        <f aca="false">B24*C24</f>
        <v>67.5</v>
      </c>
      <c r="E24" s="14" t="n">
        <f aca="false">D24*$B$5</f>
        <v>1890</v>
      </c>
      <c r="F24" s="15" t="n">
        <f aca="false">B24*(C24+$B$6)*$B$5</f>
        <v>2030</v>
      </c>
      <c r="G24" s="15" t="n">
        <f aca="false">E24*(1+$B$7)</f>
        <v>2079</v>
      </c>
      <c r="H24" s="16"/>
      <c r="I24" s="15" t="n">
        <f aca="false">B24*IF(H24="",C24,H24)*$B$5</f>
        <v>1890</v>
      </c>
    </row>
    <row r="25" customFormat="false" ht="15" hidden="false" customHeight="false" outlineLevel="0" collapsed="false">
      <c r="A25" s="17" t="s">
        <v>30</v>
      </c>
      <c r="B25" s="18" t="n">
        <v>2</v>
      </c>
      <c r="C25" s="19" t="n">
        <v>21</v>
      </c>
      <c r="D25" s="20" t="n">
        <f aca="false">B25*C25</f>
        <v>42</v>
      </c>
      <c r="E25" s="21" t="n">
        <f aca="false">D25*$B$5</f>
        <v>1176</v>
      </c>
      <c r="F25" s="22" t="n">
        <f aca="false">B25*(C25+$B$6)*$B$5</f>
        <v>1288</v>
      </c>
      <c r="G25" s="22" t="n">
        <f aca="false">E25*(1+$B$7)</f>
        <v>1293.6</v>
      </c>
      <c r="H25" s="16"/>
      <c r="I25" s="22" t="n">
        <f aca="false">B25*IF(H25="",C25,H25)*$B$5</f>
        <v>1176</v>
      </c>
    </row>
    <row r="26" customFormat="false" ht="15" hidden="false" customHeight="false" outlineLevel="0" collapsed="false">
      <c r="A26" s="10" t="s">
        <v>31</v>
      </c>
      <c r="B26" s="11" t="n">
        <v>2</v>
      </c>
      <c r="C26" s="12" t="n">
        <v>25</v>
      </c>
      <c r="D26" s="13" t="n">
        <f aca="false">B26*C26</f>
        <v>50</v>
      </c>
      <c r="E26" s="14" t="n">
        <f aca="false">D26*$B$5</f>
        <v>1400</v>
      </c>
      <c r="F26" s="15" t="n">
        <f aca="false">B26*(C26+$B$6)*$B$5</f>
        <v>1512</v>
      </c>
      <c r="G26" s="15" t="n">
        <f aca="false">E26*(1+$B$7)</f>
        <v>1540</v>
      </c>
      <c r="H26" s="16"/>
      <c r="I26" s="15" t="n">
        <f aca="false">B26*IF(H26="",C26,H26)*$B$5</f>
        <v>1400</v>
      </c>
    </row>
    <row r="27" customFormat="false" ht="15" hidden="false" customHeight="false" outlineLevel="0" collapsed="false">
      <c r="A27" s="17" t="s">
        <v>32</v>
      </c>
      <c r="B27" s="18" t="n">
        <v>2</v>
      </c>
      <c r="C27" s="19" t="n">
        <v>25</v>
      </c>
      <c r="D27" s="20" t="n">
        <f aca="false">B27*C27</f>
        <v>50</v>
      </c>
      <c r="E27" s="21" t="n">
        <f aca="false">D27*$B$5</f>
        <v>1400</v>
      </c>
      <c r="F27" s="22" t="n">
        <f aca="false">B27*(C27+$B$6)*$B$5</f>
        <v>1512</v>
      </c>
      <c r="G27" s="22" t="n">
        <f aca="false">E27*(1+$B$7)</f>
        <v>1540</v>
      </c>
      <c r="H27" s="16"/>
      <c r="I27" s="22" t="n">
        <f aca="false">B27*IF(H27="",C27,H27)*$B$5</f>
        <v>1400</v>
      </c>
    </row>
    <row r="28" customFormat="false" ht="15" hidden="false" customHeight="false" outlineLevel="0" collapsed="false">
      <c r="A28" s="10" t="s">
        <v>33</v>
      </c>
      <c r="B28" s="11" t="n">
        <v>2</v>
      </c>
      <c r="C28" s="12" t="n">
        <v>21</v>
      </c>
      <c r="D28" s="13" t="n">
        <f aca="false">B28*C28</f>
        <v>42</v>
      </c>
      <c r="E28" s="14" t="n">
        <f aca="false">D28*$B$5</f>
        <v>1176</v>
      </c>
      <c r="F28" s="15" t="n">
        <f aca="false">B28*(C28+$B$6)*$B$5</f>
        <v>1288</v>
      </c>
      <c r="G28" s="15" t="n">
        <f aca="false">E28*(1+$B$7)</f>
        <v>1293.6</v>
      </c>
      <c r="H28" s="16"/>
      <c r="I28" s="15" t="n">
        <f aca="false">B28*IF(H28="",C28,H28)*$B$5</f>
        <v>1176</v>
      </c>
    </row>
    <row r="29" customFormat="false" ht="15" hidden="false" customHeight="false" outlineLevel="0" collapsed="false">
      <c r="A29" s="17" t="s">
        <v>34</v>
      </c>
      <c r="B29" s="18" t="n">
        <v>1</v>
      </c>
      <c r="C29" s="19" t="n">
        <v>25</v>
      </c>
      <c r="D29" s="20" t="n">
        <f aca="false">B29*C29</f>
        <v>25</v>
      </c>
      <c r="E29" s="21" t="n">
        <f aca="false">D29*$B$5</f>
        <v>700</v>
      </c>
      <c r="F29" s="22" t="n">
        <f aca="false">B29*(C29+$B$6)*$B$5</f>
        <v>756</v>
      </c>
      <c r="G29" s="22" t="n">
        <f aca="false">E29*(1+$B$7)</f>
        <v>770</v>
      </c>
      <c r="H29" s="16"/>
      <c r="I29" s="22" t="n">
        <f aca="false">B29*IF(H29="",C29,H29)*$B$5</f>
        <v>700</v>
      </c>
    </row>
    <row r="30" customFormat="false" ht="15" hidden="false" customHeight="false" outlineLevel="0" collapsed="false">
      <c r="A30" s="10" t="s">
        <v>35</v>
      </c>
      <c r="B30" s="11" t="n">
        <v>1</v>
      </c>
      <c r="C30" s="12" t="n">
        <v>21</v>
      </c>
      <c r="D30" s="13" t="n">
        <f aca="false">B30*C30</f>
        <v>21</v>
      </c>
      <c r="E30" s="14" t="n">
        <f aca="false">D30*$B$5</f>
        <v>588</v>
      </c>
      <c r="F30" s="15" t="n">
        <f aca="false">B30*(C30+$B$6)*$B$5</f>
        <v>644</v>
      </c>
      <c r="G30" s="15" t="n">
        <f aca="false">E30*(1+$B$7)</f>
        <v>646.8</v>
      </c>
      <c r="H30" s="16"/>
      <c r="I30" s="15" t="n">
        <f aca="false">B30*IF(H30="",C30,H30)*$B$5</f>
        <v>588</v>
      </c>
    </row>
    <row r="31" customFormat="false" ht="15" hidden="false" customHeight="false" outlineLevel="0" collapsed="false">
      <c r="A31" s="17" t="s">
        <v>36</v>
      </c>
      <c r="B31" s="18" t="n">
        <v>1</v>
      </c>
      <c r="C31" s="19" t="n">
        <v>30</v>
      </c>
      <c r="D31" s="20" t="n">
        <f aca="false">B31*C31</f>
        <v>30</v>
      </c>
      <c r="E31" s="21" t="n">
        <f aca="false">D31*$B$5</f>
        <v>840</v>
      </c>
      <c r="F31" s="22" t="n">
        <f aca="false">B31*(C31+$B$6)*$B$5</f>
        <v>896</v>
      </c>
      <c r="G31" s="22" t="n">
        <f aca="false">E31*(1+$B$7)</f>
        <v>924</v>
      </c>
      <c r="H31" s="16"/>
      <c r="I31" s="22" t="n">
        <f aca="false">B31*IF(H31="",C31,H31)*$B$5</f>
        <v>840</v>
      </c>
    </row>
    <row r="32" customFormat="false" ht="19.5" hidden="false" customHeight="true" outlineLevel="0" collapsed="false">
      <c r="A32" s="23" t="s">
        <v>37</v>
      </c>
      <c r="B32" s="24" t="n">
        <f aca="false">SUM(B10:B31)</f>
        <v>180</v>
      </c>
      <c r="C32" s="25"/>
      <c r="D32" s="26" t="n">
        <f aca="false">SUM(D10:D31)</f>
        <v>5228.5</v>
      </c>
      <c r="E32" s="25" t="n">
        <f aca="false">SUM(E10:E31)</f>
        <v>146398</v>
      </c>
      <c r="F32" s="25" t="n">
        <f aca="false">SUM(F10:F31)</f>
        <v>156478</v>
      </c>
      <c r="G32" s="25" t="n">
        <f aca="false">SUM(G10:G31)</f>
        <v>161037.8</v>
      </c>
      <c r="H32" s="25"/>
      <c r="I32" s="25" t="n">
        <f aca="false">SUM(I10:I31)</f>
        <v>146398</v>
      </c>
    </row>
    <row r="33" customFormat="false" ht="15" hidden="false" customHeight="false" outlineLevel="0" collapsed="false">
      <c r="A33" s="27" t="s">
        <v>38</v>
      </c>
      <c r="B33" s="28"/>
      <c r="C33" s="28"/>
      <c r="D33" s="28"/>
      <c r="E33" s="28"/>
      <c r="F33" s="28" t="n">
        <f aca="false">F32-$E$32</f>
        <v>10080</v>
      </c>
      <c r="G33" s="28" t="n">
        <f aca="false">G32-$E$32</f>
        <v>14639.8</v>
      </c>
      <c r="H33" s="28"/>
      <c r="I33" s="28" t="n">
        <f aca="false">I32-$E$32</f>
        <v>0</v>
      </c>
    </row>
    <row r="35" customFormat="false" ht="15" hidden="false" customHeight="false" outlineLevel="0" collapsed="false">
      <c r="A35" s="29" t="s">
        <v>39</v>
      </c>
    </row>
    <row r="36" customFormat="false" ht="15" hidden="false" customHeight="false" outlineLevel="0" collapsed="false">
      <c r="A36" s="30" t="s">
        <v>40</v>
      </c>
    </row>
    <row r="37" customFormat="false" ht="15" hidden="false" customHeight="false" outlineLevel="0" collapsed="false">
      <c r="A37" s="30" t="s">
        <v>41</v>
      </c>
    </row>
    <row r="38" customFormat="false" ht="15" hidden="false" customHeight="false" outlineLevel="0" collapsed="false">
      <c r="A38" s="30" t="s">
        <v>42</v>
      </c>
    </row>
    <row r="39" customFormat="false" ht="15" hidden="false" customHeight="false" outlineLevel="0" collapsed="false">
      <c r="A39" s="30" t="s">
        <v>43</v>
      </c>
    </row>
    <row r="40" customFormat="false" ht="15" hidden="false" customHeight="false" outlineLevel="0" collapsed="false">
      <c r="A40" s="30" t="s">
        <v>44</v>
      </c>
    </row>
    <row r="41" customFormat="false" ht="15" hidden="false" customHeight="false" outlineLevel="0" collapsed="false">
      <c r="A41" s="30" t="s">
        <v>45</v>
      </c>
    </row>
  </sheetData>
  <autoFilter ref="A9:I31"/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2026-10-29T13:09:20Z</dcterms:created>
  <dc:creator>openpyxl</dc:creator>
  <dc:description/>
  <dc:language>en-US</dc:language>
  <cp:lastModifiedBy/>
  <dcterms:modified xsi:type="dcterms:W3CDTF">2026-10-29T13:09:20Z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